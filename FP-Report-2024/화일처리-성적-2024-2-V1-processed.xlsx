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hwang-youngseo/Library/Mobile Documents/com~apple~CloudDocs/college/Semester8/File Processing/FP-Report-2024/"/>
    </mc:Choice>
  </mc:AlternateContent>
  <xr:revisionPtr revIDLastSave="0" documentId="13_ncr:1_{A77576BB-7E3E-F940-9582-9FD66E111996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내부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2" i="1" l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F128" i="1"/>
  <c r="D128" i="1"/>
  <c r="J112" i="1"/>
  <c r="J111" i="1"/>
  <c r="M108" i="1"/>
  <c r="J108" i="1"/>
  <c r="M107" i="1"/>
  <c r="J107" i="1"/>
  <c r="M106" i="1"/>
  <c r="J106" i="1"/>
  <c r="M105" i="1"/>
  <c r="J105" i="1"/>
  <c r="M104" i="1"/>
  <c r="J104" i="1"/>
  <c r="M103" i="1"/>
  <c r="J103" i="1"/>
  <c r="M102" i="1"/>
  <c r="J102" i="1"/>
  <c r="J101" i="1"/>
  <c r="M100" i="1"/>
  <c r="J100" i="1"/>
  <c r="M99" i="1"/>
  <c r="J99" i="1"/>
  <c r="M97" i="1"/>
  <c r="J97" i="1"/>
  <c r="M96" i="1"/>
  <c r="J96" i="1"/>
  <c r="M95" i="1"/>
  <c r="J95" i="1"/>
  <c r="M94" i="1"/>
  <c r="J94" i="1"/>
  <c r="J93" i="1"/>
  <c r="M92" i="1"/>
  <c r="J92" i="1"/>
  <c r="M91" i="1"/>
  <c r="J91" i="1"/>
  <c r="M90" i="1"/>
  <c r="J90" i="1"/>
  <c r="M89" i="1"/>
  <c r="M87" i="1"/>
  <c r="J87" i="1"/>
  <c r="M86" i="1"/>
  <c r="J86" i="1"/>
  <c r="M85" i="1"/>
  <c r="J85" i="1"/>
  <c r="M84" i="1"/>
  <c r="J84" i="1"/>
  <c r="M83" i="1"/>
  <c r="J83" i="1"/>
  <c r="J82" i="1"/>
  <c r="M81" i="1"/>
  <c r="J81" i="1"/>
  <c r="M80" i="1"/>
  <c r="J80" i="1"/>
  <c r="M79" i="1"/>
  <c r="J79" i="1"/>
  <c r="M77" i="1"/>
  <c r="J77" i="1"/>
  <c r="M76" i="1"/>
  <c r="J76" i="1"/>
  <c r="M75" i="1"/>
  <c r="J75" i="1"/>
  <c r="M74" i="1"/>
  <c r="J74" i="1"/>
  <c r="J73" i="1"/>
  <c r="M72" i="1"/>
  <c r="J72" i="1"/>
  <c r="M71" i="1"/>
  <c r="J71" i="1"/>
  <c r="M70" i="1"/>
  <c r="J70" i="1"/>
  <c r="M69" i="1"/>
  <c r="J69" i="1"/>
  <c r="M68" i="1"/>
  <c r="J68" i="1"/>
  <c r="M67" i="1"/>
  <c r="J67" i="1"/>
  <c r="M66" i="1"/>
  <c r="J66" i="1"/>
  <c r="M65" i="1"/>
  <c r="J65" i="1"/>
  <c r="M64" i="1"/>
  <c r="J64" i="1"/>
  <c r="M63" i="1"/>
  <c r="J63" i="1"/>
  <c r="M62" i="1"/>
  <c r="J62" i="1"/>
  <c r="M61" i="1"/>
  <c r="J61" i="1"/>
  <c r="M60" i="1"/>
  <c r="J60" i="1"/>
  <c r="M59" i="1"/>
  <c r="J59" i="1"/>
  <c r="M58" i="1"/>
  <c r="J58" i="1"/>
  <c r="M56" i="1"/>
  <c r="J56" i="1"/>
  <c r="J55" i="1"/>
  <c r="M54" i="1"/>
  <c r="J54" i="1"/>
  <c r="M53" i="1"/>
  <c r="J53" i="1"/>
  <c r="M52" i="1"/>
  <c r="J52" i="1"/>
  <c r="M51" i="1"/>
  <c r="J51" i="1"/>
  <c r="M50" i="1"/>
  <c r="J50" i="1"/>
  <c r="M49" i="1"/>
  <c r="J49" i="1"/>
  <c r="M48" i="1"/>
  <c r="J48" i="1"/>
  <c r="J47" i="1"/>
  <c r="J46" i="1"/>
  <c r="M45" i="1"/>
  <c r="J45" i="1"/>
  <c r="M44" i="1"/>
  <c r="J44" i="1"/>
  <c r="M43" i="1"/>
  <c r="J43" i="1"/>
  <c r="M42" i="1"/>
  <c r="J42" i="1"/>
  <c r="M41" i="1"/>
  <c r="J41" i="1"/>
  <c r="M39" i="1"/>
  <c r="J39" i="1"/>
  <c r="M38" i="1"/>
  <c r="J38" i="1"/>
  <c r="M37" i="1"/>
  <c r="J37" i="1"/>
  <c r="M36" i="1"/>
  <c r="J36" i="1"/>
  <c r="M35" i="1"/>
  <c r="J35" i="1"/>
  <c r="M34" i="1"/>
  <c r="J34" i="1"/>
  <c r="M33" i="1"/>
  <c r="J33" i="1"/>
  <c r="M32" i="1"/>
  <c r="J32" i="1"/>
  <c r="M31" i="1"/>
  <c r="J31" i="1"/>
  <c r="M30" i="1"/>
  <c r="J30" i="1"/>
  <c r="M29" i="1"/>
  <c r="J29" i="1"/>
  <c r="M28" i="1"/>
  <c r="J28" i="1"/>
  <c r="M26" i="1"/>
  <c r="J26" i="1"/>
  <c r="M24" i="1"/>
  <c r="J24" i="1"/>
  <c r="M23" i="1"/>
  <c r="J23" i="1"/>
  <c r="M22" i="1"/>
  <c r="J22" i="1"/>
  <c r="M21" i="1"/>
  <c r="J21" i="1"/>
  <c r="M20" i="1"/>
  <c r="J20" i="1"/>
  <c r="M19" i="1"/>
  <c r="J19" i="1"/>
  <c r="M18" i="1"/>
  <c r="J18" i="1"/>
  <c r="M17" i="1"/>
  <c r="J17" i="1"/>
  <c r="M16" i="1"/>
  <c r="J16" i="1"/>
  <c r="M15" i="1"/>
  <c r="J15" i="1"/>
  <c r="M14" i="1"/>
  <c r="J14" i="1"/>
  <c r="M13" i="1"/>
  <c r="J13" i="1"/>
  <c r="M12" i="1"/>
  <c r="J12" i="1"/>
  <c r="M11" i="1"/>
  <c r="J11" i="1"/>
  <c r="M10" i="1"/>
  <c r="J10" i="1"/>
  <c r="M8" i="1"/>
  <c r="J8" i="1"/>
  <c r="M7" i="1"/>
  <c r="J7" i="1"/>
  <c r="M6" i="1"/>
  <c r="J6" i="1"/>
  <c r="M5" i="1"/>
  <c r="J5" i="1"/>
  <c r="J4" i="1"/>
</calcChain>
</file>

<file path=xl/sharedStrings.xml><?xml version="1.0" encoding="utf-8"?>
<sst xmlns="http://schemas.openxmlformats.org/spreadsheetml/2006/main" count="798" uniqueCount="296">
  <si>
    <t>화일처리 A/B 통합 (2024년 2학기)</t>
  </si>
  <si>
    <t>No</t>
  </si>
  <si>
    <t>분반</t>
  </si>
  <si>
    <t>외/재</t>
  </si>
  <si>
    <t>학부(과)</t>
  </si>
  <si>
    <t>학년</t>
  </si>
  <si>
    <t>학번</t>
  </si>
  <si>
    <t>성명</t>
  </si>
  <si>
    <t>슬랙</t>
  </si>
  <si>
    <t>기말</t>
  </si>
  <si>
    <t>R1</t>
  </si>
  <si>
    <t>생성형 AI 사용 여부</t>
  </si>
  <si>
    <t>비고</t>
  </si>
  <si>
    <t>R2</t>
  </si>
  <si>
    <t>R3</t>
  </si>
  <si>
    <t>리포트 합계</t>
  </si>
  <si>
    <t>출석</t>
  </si>
  <si>
    <t>정성점수 조정</t>
  </si>
  <si>
    <t>총점</t>
  </si>
  <si>
    <t>정성점수</t>
  </si>
  <si>
    <t>학점</t>
  </si>
  <si>
    <t>비고2 (출석)</t>
  </si>
  <si>
    <t>비고3 (주관식)</t>
  </si>
  <si>
    <t>A</t>
  </si>
  <si>
    <t>재</t>
  </si>
  <si>
    <t>소프트웨어전공</t>
  </si>
  <si>
    <t xml:space="preserve">4 </t>
  </si>
  <si>
    <t>20143025</t>
  </si>
  <si>
    <t>강영환</t>
  </si>
  <si>
    <t>입출력 이해 X (감점 20점)</t>
  </si>
  <si>
    <t>미제출</t>
  </si>
  <si>
    <t>B</t>
  </si>
  <si>
    <t>사회학과</t>
  </si>
  <si>
    <t>20180519</t>
  </si>
  <si>
    <t>조원혁</t>
  </si>
  <si>
    <t>check balance (20점 상향)</t>
  </si>
  <si>
    <t>20181570</t>
  </si>
  <si>
    <t>강주희</t>
  </si>
  <si>
    <t>계승자 선택 오류</t>
  </si>
  <si>
    <t>4회 결석</t>
  </si>
  <si>
    <t>소프트웨어학부</t>
  </si>
  <si>
    <t xml:space="preserve">2 </t>
  </si>
  <si>
    <t>20181581</t>
  </si>
  <si>
    <t>김린회</t>
  </si>
  <si>
    <t>기한 후 제출 (감점 20점)</t>
  </si>
  <si>
    <t>회전 X</t>
  </si>
  <si>
    <t xml:space="preserve">3 </t>
  </si>
  <si>
    <t>20181679</t>
  </si>
  <si>
    <t>임경민</t>
  </si>
  <si>
    <t>경영정보전공</t>
  </si>
  <si>
    <t>20185253</t>
  </si>
  <si>
    <t>김호국</t>
  </si>
  <si>
    <t>경제학과</t>
  </si>
  <si>
    <t>이승민</t>
  </si>
  <si>
    <t>국제통상학과</t>
  </si>
  <si>
    <t>20190891</t>
  </si>
  <si>
    <t>박도현</t>
  </si>
  <si>
    <t>곽다윗</t>
  </si>
  <si>
    <t>잘못된 파일명 (감점 5점)</t>
  </si>
  <si>
    <t>20191602</t>
  </si>
  <si>
    <t>배용하</t>
  </si>
  <si>
    <t>20191605</t>
  </si>
  <si>
    <t>백현식</t>
  </si>
  <si>
    <t>20191609</t>
  </si>
  <si>
    <t>서희영</t>
  </si>
  <si>
    <t>20191655</t>
  </si>
  <si>
    <t>장민석</t>
  </si>
  <si>
    <t>장승훈</t>
  </si>
  <si>
    <t>잘못된 파일명 (감점 5점)
입출력 이해 X (감점 20점)</t>
  </si>
  <si>
    <t>입출력 이해 X</t>
  </si>
  <si>
    <t>3회 결석</t>
  </si>
  <si>
    <t>20191657</t>
  </si>
  <si>
    <t>장재만</t>
  </si>
  <si>
    <t>AI빅데이터융합경영학과</t>
  </si>
  <si>
    <t>20192779</t>
  </si>
  <si>
    <t>원대인</t>
  </si>
  <si>
    <t>삭제 오류</t>
  </si>
  <si>
    <t>20202076</t>
  </si>
  <si>
    <t>김태우</t>
  </si>
  <si>
    <t>슬랙 미참여</t>
  </si>
  <si>
    <t>5회 결석</t>
  </si>
  <si>
    <t>20202086</t>
  </si>
  <si>
    <t>백승렬</t>
  </si>
  <si>
    <t>20203028</t>
  </si>
  <si>
    <t>구자빈</t>
  </si>
  <si>
    <t>O</t>
  </si>
  <si>
    <t>김다민</t>
  </si>
  <si>
    <t>20203034</t>
  </si>
  <si>
    <t>김도경</t>
  </si>
  <si>
    <t>20203046</t>
  </si>
  <si>
    <t>김유태</t>
  </si>
  <si>
    <t>20203048</t>
  </si>
  <si>
    <t>김준범</t>
  </si>
  <si>
    <t>20203058</t>
  </si>
  <si>
    <t>노혜원</t>
  </si>
  <si>
    <t>20203064</t>
  </si>
  <si>
    <t>박광열</t>
  </si>
  <si>
    <t>20203067</t>
  </si>
  <si>
    <t>박상엄</t>
  </si>
  <si>
    <t>20203070</t>
  </si>
  <si>
    <t>박우혁</t>
  </si>
  <si>
    <t>20203071</t>
  </si>
  <si>
    <t>박재영</t>
  </si>
  <si>
    <t>20203073</t>
  </si>
  <si>
    <t>박재훈</t>
  </si>
  <si>
    <t>20203078</t>
  </si>
  <si>
    <t>서민호</t>
  </si>
  <si>
    <t>마지막 노드 삭제 오류</t>
  </si>
  <si>
    <t>20203079</t>
  </si>
  <si>
    <t>서하진</t>
  </si>
  <si>
    <t>컴파일 오류</t>
  </si>
  <si>
    <t>20203080</t>
  </si>
  <si>
    <t>선현승</t>
  </si>
  <si>
    <t>20203081</t>
  </si>
  <si>
    <t>성창민</t>
  </si>
  <si>
    <t>20203092</t>
  </si>
  <si>
    <t>신윤섭</t>
  </si>
  <si>
    <t>20203114</t>
  </si>
  <si>
    <t>이민우</t>
  </si>
  <si>
    <t>20203116</t>
  </si>
  <si>
    <t>이선재</t>
  </si>
  <si>
    <t>20203120</t>
  </si>
  <si>
    <t>이정혁</t>
  </si>
  <si>
    <t>20203123</t>
  </si>
  <si>
    <t>이지원</t>
  </si>
  <si>
    <t>20203126</t>
  </si>
  <si>
    <t>이충호</t>
  </si>
  <si>
    <t>20203150</t>
  </si>
  <si>
    <t>최건웅</t>
  </si>
  <si>
    <t>20211456</t>
  </si>
  <si>
    <t>정성엽</t>
  </si>
  <si>
    <t>정보보안암호수학과</t>
  </si>
  <si>
    <t>20212047</t>
  </si>
  <si>
    <t>신혁수</t>
  </si>
  <si>
    <t>20212959</t>
  </si>
  <si>
    <t>권용재</t>
  </si>
  <si>
    <t>외</t>
  </si>
  <si>
    <t>20212966</t>
  </si>
  <si>
    <t>김명환</t>
  </si>
  <si>
    <t>금지된 라이브러리 사용
입출력 이해 X (감점 20점)</t>
  </si>
  <si>
    <t>20212980</t>
  </si>
  <si>
    <t>김영일</t>
  </si>
  <si>
    <t>20212984</t>
  </si>
  <si>
    <t>김지환</t>
  </si>
  <si>
    <t>20212985</t>
  </si>
  <si>
    <t>남재준</t>
  </si>
  <si>
    <t>20212991</t>
  </si>
  <si>
    <t>민승호</t>
  </si>
  <si>
    <t>20212995</t>
  </si>
  <si>
    <t>박성일</t>
  </si>
  <si>
    <t>20212997</t>
  </si>
  <si>
    <t>박시윤</t>
  </si>
  <si>
    <t>20213005</t>
  </si>
  <si>
    <t>백서현</t>
  </si>
  <si>
    <t>20213008</t>
  </si>
  <si>
    <t>빌렉자르갈</t>
  </si>
  <si>
    <t>20213014</t>
  </si>
  <si>
    <t>손승완</t>
  </si>
  <si>
    <t>20213026</t>
  </si>
  <si>
    <t>오지현</t>
  </si>
  <si>
    <t>20213028</t>
  </si>
  <si>
    <t>유범익</t>
  </si>
  <si>
    <t>20213031</t>
  </si>
  <si>
    <t>윤준희</t>
  </si>
  <si>
    <t>20213039</t>
  </si>
  <si>
    <t>이상진</t>
  </si>
  <si>
    <t>20213046</t>
  </si>
  <si>
    <t>이영욱</t>
  </si>
  <si>
    <t>20213051</t>
  </si>
  <si>
    <t>이재준</t>
  </si>
  <si>
    <t>20213058</t>
  </si>
  <si>
    <t>이주엽</t>
  </si>
  <si>
    <t>금지된 라이브러리 사용</t>
  </si>
  <si>
    <t>20213060</t>
  </si>
  <si>
    <t>이지상</t>
  </si>
  <si>
    <t>20213064</t>
  </si>
  <si>
    <t>이창조</t>
  </si>
  <si>
    <t>20213068</t>
  </si>
  <si>
    <t>임민석</t>
  </si>
  <si>
    <t>20213069</t>
  </si>
  <si>
    <t>임수민</t>
  </si>
  <si>
    <t>20213083</t>
  </si>
  <si>
    <t>정찬하</t>
  </si>
  <si>
    <t>20213092</t>
  </si>
  <si>
    <t>탁태현</t>
  </si>
  <si>
    <t>20213103</t>
  </si>
  <si>
    <t>황찬우</t>
  </si>
  <si>
    <t>20215205</t>
  </si>
  <si>
    <t>강문정</t>
  </si>
  <si>
    <t>회전 X, 계승자 선택 오류</t>
  </si>
  <si>
    <t>20215212</t>
  </si>
  <si>
    <t>정회창</t>
  </si>
  <si>
    <t>20221170</t>
  </si>
  <si>
    <t>이상빈</t>
  </si>
  <si>
    <t>20222722</t>
  </si>
  <si>
    <t>임한</t>
  </si>
  <si>
    <t>Leak 발생 (감점 20점)</t>
  </si>
  <si>
    <t>20223051</t>
  </si>
  <si>
    <t>권세건</t>
  </si>
  <si>
    <t>20223056</t>
  </si>
  <si>
    <t>김아리</t>
  </si>
  <si>
    <t>20223066</t>
  </si>
  <si>
    <t>김혜원</t>
  </si>
  <si>
    <t>20223073</t>
  </si>
  <si>
    <t>만다흐자야</t>
  </si>
  <si>
    <t>방현식</t>
  </si>
  <si>
    <t>20223091</t>
  </si>
  <si>
    <t>서동현</t>
  </si>
  <si>
    <t>20223120</t>
  </si>
  <si>
    <t>이승진</t>
  </si>
  <si>
    <t>20223133</t>
  </si>
  <si>
    <t>전윤주</t>
  </si>
  <si>
    <t>20223152</t>
  </si>
  <si>
    <t>최승훈</t>
  </si>
  <si>
    <t>20223153</t>
  </si>
  <si>
    <t>최연우</t>
  </si>
  <si>
    <t>인공지능전공</t>
  </si>
  <si>
    <t>20223173</t>
  </si>
  <si>
    <t>박찬민</t>
  </si>
  <si>
    <t>자기 마음대로 함</t>
  </si>
  <si>
    <t>20223206</t>
  </si>
  <si>
    <t>차예찬</t>
  </si>
  <si>
    <t>20223579</t>
  </si>
  <si>
    <t>노민 에르덴</t>
  </si>
  <si>
    <t>20223582</t>
  </si>
  <si>
    <t>체벡수렝홀랑</t>
  </si>
  <si>
    <t>20225223</t>
  </si>
  <si>
    <t>김민철</t>
  </si>
  <si>
    <t>20232091</t>
  </si>
  <si>
    <t>백채린</t>
  </si>
  <si>
    <t>20232093</t>
  </si>
  <si>
    <t>유근오</t>
  </si>
  <si>
    <t>20232110</t>
  </si>
  <si>
    <t>최강호</t>
  </si>
  <si>
    <t>20233013</t>
  </si>
  <si>
    <t>강다은</t>
  </si>
  <si>
    <t>20233027</t>
  </si>
  <si>
    <t>김민규</t>
  </si>
  <si>
    <t>20233043</t>
  </si>
  <si>
    <t>레일라</t>
  </si>
  <si>
    <t>20233047</t>
  </si>
  <si>
    <t>박성훈</t>
  </si>
  <si>
    <t>20233049</t>
  </si>
  <si>
    <t>박유나</t>
  </si>
  <si>
    <t>20233054</t>
  </si>
  <si>
    <t>서지찬</t>
  </si>
  <si>
    <t>부정행위</t>
  </si>
  <si>
    <t>20233055</t>
  </si>
  <si>
    <t>서진형</t>
  </si>
  <si>
    <t>20233060</t>
  </si>
  <si>
    <t>어가연</t>
  </si>
  <si>
    <t>20233064</t>
  </si>
  <si>
    <t>오토공체체그</t>
  </si>
  <si>
    <t>20233068</t>
  </si>
  <si>
    <t>유채희</t>
  </si>
  <si>
    <t>20233070</t>
  </si>
  <si>
    <t>윤아영</t>
  </si>
  <si>
    <t>20233082</t>
  </si>
  <si>
    <t>이승호</t>
  </si>
  <si>
    <t>20233098</t>
  </si>
  <si>
    <t>정희섭</t>
  </si>
  <si>
    <t>20233099</t>
  </si>
  <si>
    <t>조상혁</t>
  </si>
  <si>
    <t>20233110</t>
  </si>
  <si>
    <t>최승환</t>
  </si>
  <si>
    <t>20233114</t>
  </si>
  <si>
    <t>하승준</t>
  </si>
  <si>
    <t>20233117</t>
  </si>
  <si>
    <t>한승훈</t>
  </si>
  <si>
    <t>20233120</t>
  </si>
  <si>
    <t>허스바야르</t>
  </si>
  <si>
    <t>20233121</t>
  </si>
  <si>
    <t>헝거르졸</t>
  </si>
  <si>
    <t>20233571</t>
  </si>
  <si>
    <t>예슐렌</t>
  </si>
  <si>
    <t>잘못된 파일 형식 (감점 5점)
입출력 이해 X (감점 20점)</t>
  </si>
  <si>
    <t>등급</t>
  </si>
  <si>
    <t>최고인원</t>
  </si>
  <si>
    <t>입력인원</t>
  </si>
  <si>
    <t>퍼센트</t>
  </si>
  <si>
    <t>A+</t>
  </si>
  <si>
    <t>A0</t>
  </si>
  <si>
    <t>B+</t>
  </si>
  <si>
    <t>B0</t>
  </si>
  <si>
    <t>C+</t>
  </si>
  <si>
    <t>C0</t>
  </si>
  <si>
    <t>D+</t>
  </si>
  <si>
    <t>D0</t>
  </si>
  <si>
    <t>F</t>
  </si>
  <si>
    <t>외국인</t>
  </si>
  <si>
    <t>처리인원</t>
  </si>
  <si>
    <t>merge 무조건 왼쪽 X</t>
  </si>
  <si>
    <t>tree 비었을 때 케이스</t>
  </si>
  <si>
    <t>leak</t>
  </si>
  <si>
    <t>bestSibling 선택 오류</t>
  </si>
  <si>
    <t>컴파일 오류 -&gt; 기간 후 제출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</si>
</sst>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rgb="FF000000"/>
      <name val="Malgun Gothic"/>
    </font>
    <font>
      <sz val="10"/>
      <color theme="1"/>
      <name val="Arial"/>
      <family val="2"/>
    </font>
    <font>
      <sz val="10"/>
      <color theme="1"/>
      <name val="Malgun Gothic"/>
      <family val="3"/>
      <charset val="129"/>
    </font>
    <font>
      <sz val="10"/>
      <color rgb="FF000000"/>
      <name val="Arial"/>
      <family val="2"/>
    </font>
    <font>
      <sz val="11"/>
      <color rgb="FF000000"/>
      <name val="Malgun Gothic"/>
      <family val="3"/>
      <charset val="129"/>
    </font>
    <font>
      <sz val="11"/>
      <color rgb="FFFFFFFF"/>
      <name val="맑은 고딕"/>
      <family val="2"/>
      <charset val="129"/>
    </font>
    <font>
      <sz val="11"/>
      <name val="맑은 고딕"/>
      <family val="2"/>
      <charset val="129"/>
    </font>
    <font>
      <sz val="11"/>
      <color theme="1"/>
      <name val="Calibri"/>
      <family val="2"/>
    </font>
    <font>
      <b/>
      <sz val="10"/>
      <color rgb="FF000000"/>
      <name val="Arial"/>
      <family val="3"/>
      <charset val="129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Dotum"/>
      <family val="3"/>
      <charset val="129"/>
    </font>
    <font>
      <sz val="11"/>
      <name val="Arial"/>
      <family val="2"/>
    </font>
    <font>
      <sz val="11"/>
      <color rgb="FF000000"/>
      <name val="Arial"/>
      <family val="2"/>
      <charset val="129"/>
    </font>
    <font>
      <sz val="12"/>
      <color rgb="FF000000"/>
      <name val="Calibri"/>
      <family val="2"/>
    </font>
    <font>
      <sz val="11"/>
      <color theme="1"/>
      <name val="돋움"/>
      <family val="3"/>
      <charset val="129"/>
    </font>
    <font>
      <b/>
      <sz val="10"/>
      <color rgb="FF0070C0"/>
      <name val="Arial"/>
      <family val="2"/>
    </font>
    <font>
      <sz val="11"/>
      <color theme="1"/>
      <name val="Malgun Gothic"/>
      <family val="3"/>
      <charset val="129"/>
    </font>
    <font>
      <sz val="11"/>
      <color rgb="FF000000"/>
      <name val="Malgun Gothic"/>
      <family val="2"/>
      <charset val="129"/>
    </font>
    <font>
      <sz val="10"/>
      <color theme="1"/>
      <name val="돋움"/>
      <family val="3"/>
      <charset val="129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0"/>
      <color theme="1"/>
      <name val="Arial"/>
      <family val="3"/>
      <charset val="129"/>
    </font>
    <font>
      <sz val="10"/>
      <color rgb="FF434343"/>
      <name val="Roboto"/>
    </font>
  </fonts>
  <fills count="17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9BBB59"/>
        <bgColor rgb="FF9BBB5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rgb="FFFF1B1A"/>
        <bgColor indexed="64"/>
      </patternFill>
    </fill>
    <fill>
      <patternFill patternType="solid">
        <fgColor rgb="FFFF1B1A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DBDBDB"/>
        <bgColor rgb="FF000000"/>
      </patternFill>
    </fill>
    <fill>
      <patternFill patternType="solid">
        <fgColor rgb="FFDBDBDB"/>
        <bgColor rgb="FFFFFFFF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2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1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5" borderId="0" xfId="0" applyFont="1" applyFill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F137"/>
  <sheetViews>
    <sheetView tabSelected="1" topLeftCell="F1" zoomScale="94" workbookViewId="0">
      <selection activeCell="U10" sqref="U10"/>
    </sheetView>
  </sheetViews>
  <sheetFormatPr baseColWidth="10" defaultColWidth="12.6640625" defaultRowHeight="17"/>
  <cols>
    <col min="1" max="1" width="4.33203125" style="8" customWidth="1"/>
    <col min="2" max="3" width="4.6640625" style="8" customWidth="1"/>
    <col min="4" max="4" width="21.83203125" style="8" customWidth="1"/>
    <col min="5" max="5" width="5.6640625" style="8" customWidth="1"/>
    <col min="6" max="6" width="9.1640625" style="8" customWidth="1"/>
    <col min="7" max="7" width="12.1640625" style="8" customWidth="1"/>
    <col min="8" max="8" width="7.6640625" style="8" customWidth="1"/>
    <col min="9" max="9" width="7.33203125" style="8" customWidth="1"/>
    <col min="10" max="10" width="7.1640625" style="8" customWidth="1"/>
    <col min="11" max="11" width="17" style="8" customWidth="1"/>
    <col min="12" max="12" width="25.83203125" style="8" customWidth="1"/>
    <col min="13" max="13" width="7.1640625" style="8" customWidth="1"/>
    <col min="14" max="14" width="17" style="8" customWidth="1"/>
    <col min="15" max="15" width="25.83203125" style="8" customWidth="1"/>
    <col min="16" max="16" width="7.1640625" style="8" customWidth="1"/>
    <col min="17" max="17" width="17" style="8" customWidth="1"/>
    <col min="18" max="18" width="25.83203125" style="8" customWidth="1"/>
    <col min="19" max="19" width="13.1640625" style="8" customWidth="1"/>
    <col min="20" max="20" width="7.33203125" style="8" customWidth="1"/>
    <col min="21" max="21" width="12.83203125" style="8" customWidth="1"/>
    <col min="22" max="22" width="6.33203125" style="8" customWidth="1"/>
    <col min="23" max="23" width="10.6640625" style="8" customWidth="1"/>
    <col min="24" max="24" width="7" style="8" customWidth="1"/>
    <col min="25" max="25" width="19.5" style="8" bestFit="1" customWidth="1"/>
    <col min="26" max="26" width="18.5" style="8" customWidth="1"/>
    <col min="27" max="34" width="11" style="8" customWidth="1"/>
    <col min="35" max="35" width="12.6640625" style="8" customWidth="1"/>
    <col min="36" max="16384" width="12.6640625" style="8"/>
  </cols>
  <sheetData>
    <row r="1" spans="1:32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4"/>
    </row>
    <row r="2" spans="1:32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6"/>
    </row>
    <row r="3" spans="1:32" ht="32" customHeight="1">
      <c r="A3" s="9" t="s">
        <v>1</v>
      </c>
      <c r="B3" s="10" t="s">
        <v>2</v>
      </c>
      <c r="C3" s="11" t="s">
        <v>3</v>
      </c>
      <c r="D3" s="10" t="s">
        <v>4</v>
      </c>
      <c r="E3" s="12" t="s">
        <v>5</v>
      </c>
      <c r="F3" s="10" t="s">
        <v>6</v>
      </c>
      <c r="G3" s="10" t="s">
        <v>7</v>
      </c>
      <c r="H3" s="12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11</v>
      </c>
      <c r="O3" s="10" t="s">
        <v>12</v>
      </c>
      <c r="P3" s="10" t="s">
        <v>14</v>
      </c>
      <c r="Q3" s="10" t="s">
        <v>11</v>
      </c>
      <c r="R3" s="10" t="s">
        <v>12</v>
      </c>
      <c r="S3" s="13" t="s">
        <v>15</v>
      </c>
      <c r="T3" s="10" t="s">
        <v>16</v>
      </c>
      <c r="U3" s="10" t="s">
        <v>17</v>
      </c>
      <c r="V3" s="10" t="s">
        <v>18</v>
      </c>
      <c r="W3" s="10" t="s">
        <v>19</v>
      </c>
      <c r="X3" s="10" t="s">
        <v>20</v>
      </c>
      <c r="Y3" s="14" t="s">
        <v>21</v>
      </c>
      <c r="Z3" s="15" t="s">
        <v>22</v>
      </c>
    </row>
    <row r="4" spans="1:32" ht="18" customHeight="1">
      <c r="A4" s="16">
        <v>3</v>
      </c>
      <c r="B4" s="1" t="s">
        <v>23</v>
      </c>
      <c r="C4" s="2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3">
        <v>0</v>
      </c>
      <c r="I4" s="31"/>
      <c r="J4" s="17">
        <f>30 + 0.7 * (100 - 20)</f>
        <v>86</v>
      </c>
      <c r="K4" s="17"/>
      <c r="L4" s="18" t="s">
        <v>29</v>
      </c>
      <c r="M4" s="37" t="s">
        <v>30</v>
      </c>
      <c r="N4" s="37"/>
      <c r="O4" s="38"/>
      <c r="P4" s="37" t="s">
        <v>30</v>
      </c>
      <c r="Q4" s="37"/>
      <c r="R4" s="38"/>
      <c r="S4" s="19">
        <f>IF(J4="미제출",0,IF(K4="O",J4*0.66,J4))+IF(M4="미제출",0,IF(N4="O",M4*0.66,M4))</f>
        <v>86</v>
      </c>
      <c r="T4" s="20"/>
      <c r="U4" s="20"/>
      <c r="V4" s="20"/>
      <c r="W4" s="20"/>
      <c r="X4" s="21"/>
      <c r="Y4" s="19"/>
      <c r="Z4" s="23"/>
      <c r="AD4" s="22"/>
      <c r="AF4" s="36"/>
    </row>
    <row r="5" spans="1:32" ht="18" customHeight="1">
      <c r="A5" s="16">
        <v>96</v>
      </c>
      <c r="B5" s="1" t="s">
        <v>31</v>
      </c>
      <c r="C5" s="1"/>
      <c r="D5" s="1" t="s">
        <v>32</v>
      </c>
      <c r="E5" s="1" t="s">
        <v>26</v>
      </c>
      <c r="F5" s="1" t="s">
        <v>33</v>
      </c>
      <c r="G5" s="1" t="s">
        <v>34</v>
      </c>
      <c r="H5" s="1">
        <v>10</v>
      </c>
      <c r="I5" s="31"/>
      <c r="J5" s="17">
        <f>30 + 0.7 * 100</f>
        <v>100</v>
      </c>
      <c r="K5" s="17"/>
      <c r="L5" s="18"/>
      <c r="M5" s="17">
        <f>30 + 0.7 * (46 + 20)</f>
        <v>76.199999999999989</v>
      </c>
      <c r="N5" s="17"/>
      <c r="O5" s="18" t="s">
        <v>35</v>
      </c>
      <c r="P5" s="37" t="s">
        <v>30</v>
      </c>
      <c r="Q5" s="37"/>
      <c r="R5" s="38"/>
      <c r="S5" s="19">
        <f>IF(J5="미제출",0,IF(K5="O",J5*0.66,J5))+IF(M5="미제출",0,IF(N5="O",M5*0.66,M5))</f>
        <v>176.2</v>
      </c>
      <c r="T5" s="20"/>
      <c r="U5" s="20"/>
      <c r="V5" s="20"/>
      <c r="W5" s="20"/>
      <c r="X5" s="21"/>
      <c r="Y5" s="19"/>
      <c r="Z5" s="23"/>
      <c r="AD5" s="22"/>
      <c r="AF5" s="36"/>
    </row>
    <row r="6" spans="1:32" ht="18" customHeight="1">
      <c r="A6" s="16">
        <v>4</v>
      </c>
      <c r="B6" s="1" t="s">
        <v>23</v>
      </c>
      <c r="C6" s="1"/>
      <c r="D6" s="1" t="s">
        <v>25</v>
      </c>
      <c r="E6" s="1" t="s">
        <v>26</v>
      </c>
      <c r="F6" s="1" t="s">
        <v>36</v>
      </c>
      <c r="G6" s="1" t="s">
        <v>37</v>
      </c>
      <c r="H6" s="1">
        <v>10</v>
      </c>
      <c r="I6" s="30"/>
      <c r="J6" s="17">
        <f>30 + 0.7 * 100</f>
        <v>100</v>
      </c>
      <c r="K6" s="17"/>
      <c r="L6" s="18"/>
      <c r="M6" s="17">
        <f>30 + 0.7 * 32</f>
        <v>52.4</v>
      </c>
      <c r="N6" s="17"/>
      <c r="O6" s="18" t="s">
        <v>38</v>
      </c>
      <c r="P6" s="37" t="s">
        <v>30</v>
      </c>
      <c r="Q6" s="37"/>
      <c r="R6" s="38"/>
      <c r="S6" s="19">
        <f>IF(J6="미제출",0,IF(K6="O",J6*0.66,J6))+IF(M6="미제출",0,IF(N6="O",M6*0.66,M6))</f>
        <v>152.4</v>
      </c>
      <c r="T6" s="20"/>
      <c r="U6" s="20"/>
      <c r="V6" s="20"/>
      <c r="W6" s="20"/>
      <c r="X6" s="21"/>
      <c r="Y6" s="19"/>
      <c r="Z6" s="23"/>
      <c r="AA6" s="24" t="s">
        <v>39</v>
      </c>
      <c r="AD6" s="22"/>
      <c r="AF6" s="36"/>
    </row>
    <row r="7" spans="1:32" ht="18" customHeight="1">
      <c r="A7" s="16">
        <v>11</v>
      </c>
      <c r="B7" s="1" t="s">
        <v>23</v>
      </c>
      <c r="C7" s="1"/>
      <c r="D7" s="1" t="s">
        <v>40</v>
      </c>
      <c r="E7" s="1" t="s">
        <v>41</v>
      </c>
      <c r="F7" s="1" t="s">
        <v>42</v>
      </c>
      <c r="G7" s="1" t="s">
        <v>43</v>
      </c>
      <c r="H7" s="3">
        <v>0</v>
      </c>
      <c r="I7" s="30"/>
      <c r="J7" s="17">
        <f>30 + 0.7 * (70 - 20)</f>
        <v>65</v>
      </c>
      <c r="K7" s="17"/>
      <c r="L7" s="7" t="s">
        <v>44</v>
      </c>
      <c r="M7" s="17">
        <f>30 + 0.7 * 0</f>
        <v>30</v>
      </c>
      <c r="N7" s="17"/>
      <c r="O7" s="7" t="s">
        <v>45</v>
      </c>
      <c r="P7" s="37" t="s">
        <v>30</v>
      </c>
      <c r="Q7" s="37"/>
      <c r="R7" s="38"/>
      <c r="S7" s="19">
        <f>IF(J7="미제출",0,IF(K7="O",J7*0.66,J7))+IF(M7="미제출",0,IF(N7="O",M7*0.66,M7))</f>
        <v>95</v>
      </c>
      <c r="T7" s="19"/>
      <c r="U7" s="19"/>
      <c r="V7" s="20"/>
      <c r="W7" s="20"/>
      <c r="X7" s="21"/>
      <c r="Y7" s="7"/>
      <c r="Z7" s="7"/>
      <c r="AC7" s="25"/>
      <c r="AD7" s="22"/>
      <c r="AF7" s="36"/>
    </row>
    <row r="8" spans="1:32" ht="18" customHeight="1">
      <c r="A8" s="16">
        <v>83</v>
      </c>
      <c r="B8" s="1" t="s">
        <v>31</v>
      </c>
      <c r="C8" s="1"/>
      <c r="D8" s="1" t="s">
        <v>25</v>
      </c>
      <c r="E8" s="1" t="s">
        <v>46</v>
      </c>
      <c r="F8" s="1" t="s">
        <v>47</v>
      </c>
      <c r="G8" s="1" t="s">
        <v>48</v>
      </c>
      <c r="H8" s="1">
        <v>10</v>
      </c>
      <c r="I8" s="31"/>
      <c r="J8" s="17">
        <f>30 + 0.7 * 88</f>
        <v>91.6</v>
      </c>
      <c r="K8" s="17"/>
      <c r="L8" s="24"/>
      <c r="M8" s="17">
        <f>30 + 0.7 * (40 - 20)</f>
        <v>44</v>
      </c>
      <c r="N8" s="17"/>
      <c r="O8" s="7" t="s">
        <v>44</v>
      </c>
      <c r="P8" s="34">
        <v>32</v>
      </c>
      <c r="Q8" s="34"/>
      <c r="R8" s="47" t="s">
        <v>291</v>
      </c>
      <c r="S8" s="19">
        <f>IF(J8="미제출",0,IF(K8="O",J8*0.66,J8))+IF(M8="미제출",0,IF(N8="O",M8*0.66,M8))</f>
        <v>135.6</v>
      </c>
      <c r="T8" s="20"/>
      <c r="U8" s="20"/>
      <c r="V8" s="20"/>
      <c r="W8" s="20"/>
      <c r="X8" s="21"/>
      <c r="Y8" s="7"/>
      <c r="Z8" s="23"/>
      <c r="AD8" s="22"/>
      <c r="AF8" s="36"/>
    </row>
    <row r="9" spans="1:32" ht="18" customHeight="1">
      <c r="A9" s="16">
        <v>22</v>
      </c>
      <c r="B9" s="1" t="s">
        <v>31</v>
      </c>
      <c r="C9" s="1"/>
      <c r="D9" s="1" t="s">
        <v>49</v>
      </c>
      <c r="E9" s="1" t="s">
        <v>26</v>
      </c>
      <c r="F9" s="1" t="s">
        <v>50</v>
      </c>
      <c r="G9" s="1" t="s">
        <v>51</v>
      </c>
      <c r="H9" s="3">
        <v>0</v>
      </c>
      <c r="I9" s="31"/>
      <c r="J9" s="34" t="s">
        <v>30</v>
      </c>
      <c r="K9" s="34"/>
      <c r="L9" s="35"/>
      <c r="M9" s="37" t="s">
        <v>30</v>
      </c>
      <c r="N9" s="37"/>
      <c r="O9" s="38"/>
      <c r="P9" s="37" t="s">
        <v>30</v>
      </c>
      <c r="Q9" s="37"/>
      <c r="R9" s="38"/>
      <c r="S9" s="19">
        <f>IF(J9="미제출",0,IF(K9="O",J9*0.66,J9))+IF(M9="미제출",0,IF(N9="O",M9*0.66,M9))</f>
        <v>0</v>
      </c>
      <c r="T9" s="20"/>
      <c r="U9" s="20"/>
      <c r="V9" s="20"/>
      <c r="W9" s="20"/>
      <c r="X9" s="21"/>
      <c r="Y9" s="19"/>
      <c r="Z9" s="23"/>
      <c r="AD9" s="22"/>
      <c r="AF9" s="36"/>
    </row>
    <row r="10" spans="1:32" ht="18" customHeight="1">
      <c r="A10" s="16">
        <v>72</v>
      </c>
      <c r="B10" s="1" t="s">
        <v>31</v>
      </c>
      <c r="C10" s="1"/>
      <c r="D10" s="1" t="s">
        <v>52</v>
      </c>
      <c r="E10" s="1" t="s">
        <v>26</v>
      </c>
      <c r="F10" s="1">
        <v>20190839</v>
      </c>
      <c r="G10" s="1" t="s">
        <v>53</v>
      </c>
      <c r="H10" s="1">
        <v>10</v>
      </c>
      <c r="I10" s="31"/>
      <c r="J10" s="17">
        <f>30 + 0.7 * 100</f>
        <v>100</v>
      </c>
      <c r="K10" s="17"/>
      <c r="L10" s="27"/>
      <c r="M10" s="17">
        <f>30 + 0.7 * (98 - 20)</f>
        <v>84.6</v>
      </c>
      <c r="N10" s="17"/>
      <c r="O10" s="7" t="s">
        <v>44</v>
      </c>
      <c r="P10" s="48">
        <v>68</v>
      </c>
      <c r="Q10" s="48"/>
      <c r="R10" s="49" t="s">
        <v>292</v>
      </c>
      <c r="S10" s="19">
        <f>IF(J10="미제출",0,IF(K10="O",J10*0.66,J10))+IF(M10="미제출",0,IF(N10="O",M10*0.66,M10))</f>
        <v>184.6</v>
      </c>
      <c r="T10" s="20"/>
      <c r="U10" s="20"/>
      <c r="V10" s="20"/>
      <c r="W10" s="20"/>
      <c r="X10" s="21"/>
      <c r="Y10" s="19"/>
      <c r="Z10" s="23"/>
      <c r="AD10" s="22"/>
      <c r="AF10" s="36"/>
    </row>
    <row r="11" spans="1:32" ht="18" customHeight="1">
      <c r="A11" s="16">
        <v>30</v>
      </c>
      <c r="B11" s="1" t="s">
        <v>23</v>
      </c>
      <c r="C11" s="1"/>
      <c r="D11" s="1" t="s">
        <v>54</v>
      </c>
      <c r="E11" s="1" t="s">
        <v>26</v>
      </c>
      <c r="F11" s="1" t="s">
        <v>55</v>
      </c>
      <c r="G11" s="1" t="s">
        <v>56</v>
      </c>
      <c r="H11" s="1">
        <v>10</v>
      </c>
      <c r="I11" s="30"/>
      <c r="J11" s="17">
        <f>30 + 0.7 * 100</f>
        <v>100</v>
      </c>
      <c r="K11" s="17"/>
      <c r="L11" s="7"/>
      <c r="M11" s="17">
        <f>30 + 0.7 * 98</f>
        <v>98.6</v>
      </c>
      <c r="N11" s="17"/>
      <c r="O11" s="7"/>
      <c r="P11" s="34"/>
      <c r="Q11" s="34"/>
      <c r="R11" s="50" t="s">
        <v>293</v>
      </c>
      <c r="S11" s="19">
        <f>IF(J11="미제출",0,IF(K11="O",J11*0.66,J11))+IF(M11="미제출",0,IF(N11="O",M11*0.66,M11))</f>
        <v>198.6</v>
      </c>
      <c r="T11" s="19"/>
      <c r="U11" s="19"/>
      <c r="V11" s="20"/>
      <c r="W11" s="20"/>
      <c r="X11" s="21"/>
      <c r="Y11" s="7"/>
      <c r="Z11" s="7"/>
      <c r="AD11" s="22"/>
      <c r="AF11" s="36"/>
    </row>
    <row r="12" spans="1:32" ht="18" customHeight="1">
      <c r="A12" s="16">
        <v>5</v>
      </c>
      <c r="B12" s="1" t="s">
        <v>23</v>
      </c>
      <c r="C12" s="1"/>
      <c r="D12" s="1" t="s">
        <v>25</v>
      </c>
      <c r="E12" s="1" t="s">
        <v>26</v>
      </c>
      <c r="F12" s="1">
        <v>20191550</v>
      </c>
      <c r="G12" s="1" t="s">
        <v>57</v>
      </c>
      <c r="H12" s="1">
        <v>10</v>
      </c>
      <c r="I12" s="30"/>
      <c r="J12" s="17">
        <f>30 + 0.7 * (84 - 5)</f>
        <v>85.3</v>
      </c>
      <c r="K12" s="17"/>
      <c r="L12" s="27" t="s">
        <v>58</v>
      </c>
      <c r="M12" s="17">
        <f>30 + 0.7 * (46 + 20)</f>
        <v>76.199999999999989</v>
      </c>
      <c r="N12" s="17"/>
      <c r="O12" s="18" t="s">
        <v>35</v>
      </c>
      <c r="P12" s="37" t="s">
        <v>30</v>
      </c>
      <c r="Q12" s="37"/>
      <c r="R12" s="38"/>
      <c r="S12" s="19">
        <f>IF(J12="미제출",0,IF(K12="O",J12*0.66,J12))+IF(M12="미제출",0,IF(N12="O",M12*0.66,M12))</f>
        <v>161.5</v>
      </c>
      <c r="T12" s="20"/>
      <c r="U12" s="20"/>
      <c r="V12" s="20"/>
      <c r="W12" s="20"/>
      <c r="X12" s="21"/>
      <c r="Y12" s="26"/>
      <c r="Z12" s="23"/>
      <c r="AD12" s="22"/>
      <c r="AF12" s="36"/>
    </row>
    <row r="13" spans="1:32" ht="18" customHeight="1">
      <c r="A13" s="16">
        <v>41</v>
      </c>
      <c r="B13" s="1" t="s">
        <v>31</v>
      </c>
      <c r="C13" s="1"/>
      <c r="D13" s="1" t="s">
        <v>25</v>
      </c>
      <c r="E13" s="1" t="s">
        <v>46</v>
      </c>
      <c r="F13" s="1" t="s">
        <v>59</v>
      </c>
      <c r="G13" s="1" t="s">
        <v>60</v>
      </c>
      <c r="H13" s="1">
        <v>10</v>
      </c>
      <c r="I13" s="31"/>
      <c r="J13" s="17">
        <f>30 + 0.7 * 100</f>
        <v>100</v>
      </c>
      <c r="K13" s="17"/>
      <c r="L13" s="18"/>
      <c r="M13" s="17">
        <f>30 + 0.7 * 100</f>
        <v>100</v>
      </c>
      <c r="N13" s="17"/>
      <c r="O13" s="18"/>
      <c r="P13" s="17">
        <v>100</v>
      </c>
      <c r="Q13" s="17"/>
      <c r="R13" s="18"/>
      <c r="S13" s="19">
        <f>IF(J13="미제출",0,IF(K13="O",J13*0.66,J13))+IF(M13="미제출",0,IF(N13="O",M13*0.66,M13))</f>
        <v>200</v>
      </c>
      <c r="T13" s="20"/>
      <c r="U13" s="20"/>
      <c r="V13" s="20"/>
      <c r="W13" s="20"/>
      <c r="X13" s="21"/>
      <c r="Y13" s="19"/>
      <c r="Z13" s="23"/>
      <c r="AD13" s="22"/>
      <c r="AF13" s="36"/>
    </row>
    <row r="14" spans="1:32" ht="18" customHeight="1">
      <c r="A14" s="16">
        <v>45</v>
      </c>
      <c r="B14" s="1" t="s">
        <v>23</v>
      </c>
      <c r="C14" s="1"/>
      <c r="D14" s="1" t="s">
        <v>25</v>
      </c>
      <c r="E14" s="1" t="s">
        <v>26</v>
      </c>
      <c r="F14" s="1" t="s">
        <v>61</v>
      </c>
      <c r="G14" s="6" t="s">
        <v>62</v>
      </c>
      <c r="H14" s="1">
        <v>10</v>
      </c>
      <c r="I14" s="30"/>
      <c r="J14" s="17">
        <f>30 + 0.7 * 96</f>
        <v>97.199999999999989</v>
      </c>
      <c r="K14" s="17"/>
      <c r="L14" s="7"/>
      <c r="M14" s="17">
        <f>30 + 0.7 * (0 + 20)</f>
        <v>44</v>
      </c>
      <c r="N14" s="17"/>
      <c r="O14" s="18" t="s">
        <v>35</v>
      </c>
      <c r="P14" s="37" t="s">
        <v>30</v>
      </c>
      <c r="Q14" s="37"/>
      <c r="R14" s="38"/>
      <c r="S14" s="19">
        <f>IF(J14="미제출",0,IF(K14="O",J14*0.66,J14))+IF(M14="미제출",0,IF(N14="O",M14*0.66,M14))</f>
        <v>141.19999999999999</v>
      </c>
      <c r="T14" s="19"/>
      <c r="U14" s="19"/>
      <c r="V14" s="20"/>
      <c r="W14" s="20"/>
      <c r="X14" s="21"/>
      <c r="Y14" s="7"/>
      <c r="Z14" s="7"/>
      <c r="AD14" s="22"/>
      <c r="AF14" s="36"/>
    </row>
    <row r="15" spans="1:32" ht="18" customHeight="1">
      <c r="A15" s="16">
        <v>52</v>
      </c>
      <c r="B15" s="1" t="s">
        <v>23</v>
      </c>
      <c r="C15" s="1"/>
      <c r="D15" s="1" t="s">
        <v>25</v>
      </c>
      <c r="E15" s="1" t="s">
        <v>26</v>
      </c>
      <c r="F15" s="1" t="s">
        <v>63</v>
      </c>
      <c r="G15" s="1" t="s">
        <v>64</v>
      </c>
      <c r="H15" s="3">
        <v>0</v>
      </c>
      <c r="I15" s="30"/>
      <c r="J15" s="17">
        <f>30 + 0.7 * 100</f>
        <v>100</v>
      </c>
      <c r="K15" s="17"/>
      <c r="L15" s="7"/>
      <c r="M15" s="17">
        <f>30 + 0.7 * 72</f>
        <v>80.400000000000006</v>
      </c>
      <c r="N15" s="17"/>
      <c r="O15" s="7"/>
      <c r="P15" s="37" t="s">
        <v>30</v>
      </c>
      <c r="Q15" s="37"/>
      <c r="R15" s="38"/>
      <c r="S15" s="19">
        <f>IF(J15="미제출",0,IF(K15="O",J15*0.66,J15))+IF(M15="미제출",0,IF(N15="O",M15*0.66,M15))</f>
        <v>180.4</v>
      </c>
      <c r="T15" s="19"/>
      <c r="U15" s="19"/>
      <c r="V15" s="20"/>
      <c r="W15" s="20"/>
      <c r="X15" s="21"/>
      <c r="Y15" s="7"/>
      <c r="Z15" s="7"/>
      <c r="AD15" s="22"/>
      <c r="AF15" s="36"/>
    </row>
    <row r="16" spans="1:32" ht="18" customHeight="1">
      <c r="A16" s="16">
        <v>87</v>
      </c>
      <c r="B16" s="1" t="s">
        <v>23</v>
      </c>
      <c r="C16" s="1"/>
      <c r="D16" s="1" t="s">
        <v>25</v>
      </c>
      <c r="E16" s="1" t="s">
        <v>26</v>
      </c>
      <c r="F16" s="1" t="s">
        <v>65</v>
      </c>
      <c r="G16" s="6" t="s">
        <v>66</v>
      </c>
      <c r="H16" s="3">
        <v>0</v>
      </c>
      <c r="I16" s="30"/>
      <c r="J16" s="17">
        <f>30 + 0.7 * 82</f>
        <v>87.4</v>
      </c>
      <c r="K16" s="17"/>
      <c r="L16" s="18"/>
      <c r="M16" s="17">
        <f>30 + 0.7 * 40</f>
        <v>58</v>
      </c>
      <c r="N16" s="17"/>
      <c r="O16" s="18"/>
      <c r="P16" s="37" t="s">
        <v>30</v>
      </c>
      <c r="Q16" s="37"/>
      <c r="R16" s="38"/>
      <c r="S16" s="19">
        <f>IF(J16="미제출",0,IF(K16="O",J16*0.66,J16))+IF(M16="미제출",0,IF(N16="O",M16*0.66,M16))</f>
        <v>145.4</v>
      </c>
      <c r="T16" s="20"/>
      <c r="U16" s="20"/>
      <c r="V16" s="20"/>
      <c r="W16" s="20"/>
      <c r="X16" s="21"/>
      <c r="Y16" s="19"/>
      <c r="Z16" s="7"/>
      <c r="AD16" s="22"/>
      <c r="AF16" s="36"/>
    </row>
    <row r="17" spans="1:32" ht="36" customHeight="1">
      <c r="A17" s="16">
        <v>88</v>
      </c>
      <c r="B17" s="1" t="s">
        <v>23</v>
      </c>
      <c r="C17" s="1"/>
      <c r="D17" s="1" t="s">
        <v>25</v>
      </c>
      <c r="E17" s="1" t="s">
        <v>46</v>
      </c>
      <c r="F17" s="1">
        <v>20191656</v>
      </c>
      <c r="G17" s="1" t="s">
        <v>67</v>
      </c>
      <c r="H17" s="1">
        <v>10</v>
      </c>
      <c r="I17" s="31"/>
      <c r="J17" s="17">
        <f>30 + 0.7 * (96 - 25)</f>
        <v>79.699999999999989</v>
      </c>
      <c r="K17" s="17"/>
      <c r="L17" s="27" t="s">
        <v>68</v>
      </c>
      <c r="M17" s="17">
        <f>30 + 0.7 * 0</f>
        <v>30</v>
      </c>
      <c r="N17" s="17"/>
      <c r="O17" s="27" t="s">
        <v>69</v>
      </c>
      <c r="P17" s="37" t="s">
        <v>30</v>
      </c>
      <c r="Q17" s="37"/>
      <c r="R17" s="38"/>
      <c r="S17" s="19">
        <f>IF(J17="미제출",0,IF(K17="O",J17*0.66,J17))+IF(M17="미제출",0,IF(N17="O",M17*0.66,M17))</f>
        <v>109.69999999999999</v>
      </c>
      <c r="T17" s="20"/>
      <c r="U17" s="20"/>
      <c r="V17" s="20"/>
      <c r="W17" s="20"/>
      <c r="X17" s="21"/>
      <c r="Y17" s="19"/>
      <c r="Z17" s="23"/>
      <c r="AA17" s="24" t="s">
        <v>70</v>
      </c>
      <c r="AD17" s="22"/>
      <c r="AF17" s="36"/>
    </row>
    <row r="18" spans="1:32" ht="18" customHeight="1">
      <c r="A18" s="16">
        <v>89</v>
      </c>
      <c r="B18" s="1" t="s">
        <v>23</v>
      </c>
      <c r="C18" s="1"/>
      <c r="D18" s="1" t="s">
        <v>25</v>
      </c>
      <c r="E18" s="1" t="s">
        <v>26</v>
      </c>
      <c r="F18" s="1" t="s">
        <v>71</v>
      </c>
      <c r="G18" s="1" t="s">
        <v>72</v>
      </c>
      <c r="H18" s="1">
        <v>10</v>
      </c>
      <c r="I18" s="31"/>
      <c r="J18" s="17">
        <f>30 + 0.7 * 100</f>
        <v>100</v>
      </c>
      <c r="K18" s="17"/>
      <c r="L18" s="18"/>
      <c r="M18" s="17">
        <f>30 + 0.7 * 100</f>
        <v>100</v>
      </c>
      <c r="N18" s="17"/>
      <c r="O18" s="18"/>
      <c r="P18" s="17">
        <v>74</v>
      </c>
      <c r="Q18" s="17"/>
      <c r="R18" s="18"/>
      <c r="S18" s="19">
        <f>IF(J18="미제출",0,IF(K18="O",J18*0.66,J18))+IF(M18="미제출",0,IF(N18="O",M18*0.66,M18))</f>
        <v>200</v>
      </c>
      <c r="T18" s="20"/>
      <c r="U18" s="20"/>
      <c r="V18" s="20"/>
      <c r="W18" s="20"/>
      <c r="X18" s="21"/>
      <c r="Y18" s="19"/>
      <c r="Z18" s="23"/>
      <c r="AD18" s="22"/>
      <c r="AF18" s="36"/>
    </row>
    <row r="19" spans="1:32" ht="18" customHeight="1">
      <c r="A19" s="16">
        <v>62</v>
      </c>
      <c r="B19" s="1" t="s">
        <v>31</v>
      </c>
      <c r="C19" s="1"/>
      <c r="D19" s="1" t="s">
        <v>73</v>
      </c>
      <c r="E19" s="1" t="s">
        <v>26</v>
      </c>
      <c r="F19" s="1" t="s">
        <v>74</v>
      </c>
      <c r="G19" s="1" t="s">
        <v>75</v>
      </c>
      <c r="H19" s="1">
        <v>10</v>
      </c>
      <c r="I19" s="31"/>
      <c r="J19" s="17">
        <f>30 + 0.7 * 96</f>
        <v>97.199999999999989</v>
      </c>
      <c r="K19" s="17"/>
      <c r="L19" s="18"/>
      <c r="M19" s="17">
        <f>30 + 0.7 * 0</f>
        <v>30</v>
      </c>
      <c r="N19" s="17"/>
      <c r="O19" s="18" t="s">
        <v>76</v>
      </c>
      <c r="P19" s="34"/>
      <c r="Q19" s="34"/>
      <c r="R19" s="35" t="s">
        <v>294</v>
      </c>
      <c r="S19" s="19">
        <f>IF(J19="미제출",0,IF(K19="O",J19*0.66,J19))+IF(M19="미제출",0,IF(N19="O",M19*0.66,M19))</f>
        <v>127.19999999999999</v>
      </c>
      <c r="T19" s="20"/>
      <c r="U19" s="20"/>
      <c r="V19" s="20"/>
      <c r="W19" s="20"/>
      <c r="X19" s="21"/>
      <c r="Y19" s="19"/>
      <c r="Z19" s="23"/>
      <c r="AF19" s="36"/>
    </row>
    <row r="20" spans="1:32" ht="18" customHeight="1">
      <c r="A20" s="16">
        <v>20</v>
      </c>
      <c r="B20" s="1" t="s">
        <v>31</v>
      </c>
      <c r="C20" s="1"/>
      <c r="D20" s="1" t="s">
        <v>25</v>
      </c>
      <c r="E20" s="1" t="s">
        <v>46</v>
      </c>
      <c r="F20" s="1" t="s">
        <v>77</v>
      </c>
      <c r="G20" s="6" t="s">
        <v>78</v>
      </c>
      <c r="H20" s="1">
        <v>10</v>
      </c>
      <c r="I20" s="31"/>
      <c r="J20" s="17">
        <f>30 + 0.7 * 100</f>
        <v>100</v>
      </c>
      <c r="K20" s="17"/>
      <c r="L20" s="18"/>
      <c r="M20" s="17">
        <f>30 + 0.7 * 100</f>
        <v>100</v>
      </c>
      <c r="N20" s="17"/>
      <c r="O20" s="18"/>
      <c r="P20" s="17">
        <v>100</v>
      </c>
      <c r="Q20" s="17"/>
      <c r="R20" s="18" t="s">
        <v>293</v>
      </c>
      <c r="S20" s="19">
        <f>IF(J20="미제출",0,IF(K20="O",J20*0.66,J20))+IF(M20="미제출",0,IF(N20="O",M20*0.66,M20))</f>
        <v>200</v>
      </c>
      <c r="T20" s="20"/>
      <c r="U20" s="20"/>
      <c r="V20" s="20"/>
      <c r="W20" s="20"/>
      <c r="X20" s="21"/>
      <c r="Y20" s="19"/>
      <c r="Z20" s="23"/>
      <c r="AA20" s="24" t="s">
        <v>79</v>
      </c>
      <c r="AB20" s="24" t="s">
        <v>80</v>
      </c>
      <c r="AF20" s="36"/>
    </row>
    <row r="21" spans="1:32" ht="18" customHeight="1">
      <c r="A21" s="16">
        <v>43</v>
      </c>
      <c r="B21" s="1" t="s">
        <v>31</v>
      </c>
      <c r="C21" s="1"/>
      <c r="D21" s="1" t="s">
        <v>25</v>
      </c>
      <c r="E21" s="1" t="s">
        <v>46</v>
      </c>
      <c r="F21" s="1" t="s">
        <v>81</v>
      </c>
      <c r="G21" s="1" t="s">
        <v>82</v>
      </c>
      <c r="H21" s="1">
        <v>10</v>
      </c>
      <c r="I21" s="30"/>
      <c r="J21" s="17">
        <f>30 + 0.7 * 100</f>
        <v>100</v>
      </c>
      <c r="K21" s="17"/>
      <c r="L21" s="18"/>
      <c r="M21" s="17">
        <f>30 + 0.7 * 0</f>
        <v>30</v>
      </c>
      <c r="N21" s="17"/>
      <c r="O21" s="18" t="s">
        <v>69</v>
      </c>
      <c r="P21" s="34"/>
      <c r="Q21" s="34"/>
      <c r="R21" s="35" t="s">
        <v>293</v>
      </c>
      <c r="S21" s="19">
        <f>IF(J21="미제출",0,IF(K21="O",J21*0.66,J21))+IF(M21="미제출",0,IF(N21="O",M21*0.66,M21))</f>
        <v>130</v>
      </c>
      <c r="T21" s="20"/>
      <c r="U21" s="20"/>
      <c r="V21" s="20"/>
      <c r="W21" s="20"/>
      <c r="X21" s="21"/>
      <c r="Y21" s="19"/>
      <c r="Z21" s="23"/>
      <c r="AF21" s="36"/>
    </row>
    <row r="22" spans="1:32" ht="18" customHeight="1">
      <c r="A22" s="16">
        <v>6</v>
      </c>
      <c r="B22" s="1" t="s">
        <v>31</v>
      </c>
      <c r="C22" s="1"/>
      <c r="D22" s="1" t="s">
        <v>25</v>
      </c>
      <c r="E22" s="1" t="s">
        <v>46</v>
      </c>
      <c r="F22" s="1" t="s">
        <v>83</v>
      </c>
      <c r="G22" s="1" t="s">
        <v>84</v>
      </c>
      <c r="H22" s="1">
        <v>10</v>
      </c>
      <c r="I22" s="31"/>
      <c r="J22" s="17">
        <f>30 + 0.7 * 0</f>
        <v>30</v>
      </c>
      <c r="K22" s="17" t="s">
        <v>85</v>
      </c>
      <c r="L22" s="18"/>
      <c r="M22" s="17">
        <f>30 + 0.7 * 0</f>
        <v>30</v>
      </c>
      <c r="N22" s="17" t="s">
        <v>85</v>
      </c>
      <c r="O22" s="18" t="s">
        <v>38</v>
      </c>
      <c r="P22" s="37" t="s">
        <v>30</v>
      </c>
      <c r="Q22" s="37"/>
      <c r="R22" s="38"/>
      <c r="S22" s="19">
        <f>IF(J22="미제출",0,IF(K22="O",J22*0.66,J22))+IF(M22="미제출",0,IF(N22="O",M22*0.66,M22))</f>
        <v>39.6</v>
      </c>
      <c r="T22" s="20"/>
      <c r="U22" s="20"/>
      <c r="V22" s="20"/>
      <c r="W22" s="20"/>
      <c r="X22" s="21"/>
      <c r="Y22" s="19"/>
      <c r="Z22" s="23"/>
      <c r="AF22" s="36"/>
    </row>
    <row r="23" spans="1:32" ht="18" customHeight="1">
      <c r="A23" s="16">
        <v>9</v>
      </c>
      <c r="B23" s="1" t="s">
        <v>31</v>
      </c>
      <c r="C23" s="1"/>
      <c r="D23" s="1" t="s">
        <v>25</v>
      </c>
      <c r="E23" s="1" t="s">
        <v>46</v>
      </c>
      <c r="F23" s="1">
        <v>20203032</v>
      </c>
      <c r="G23" s="1" t="s">
        <v>86</v>
      </c>
      <c r="H23" s="1">
        <v>10</v>
      </c>
      <c r="I23" s="31"/>
      <c r="J23" s="17">
        <f>30 + 0.7 * (100 - 5)</f>
        <v>96.5</v>
      </c>
      <c r="K23" s="17"/>
      <c r="L23" s="27" t="s">
        <v>58</v>
      </c>
      <c r="M23" s="17">
        <f>30 + 0.7 * (0 + 20)</f>
        <v>44</v>
      </c>
      <c r="N23" s="17"/>
      <c r="O23" s="18" t="s">
        <v>35</v>
      </c>
      <c r="P23" s="37" t="s">
        <v>30</v>
      </c>
      <c r="Q23" s="37"/>
      <c r="R23" s="38"/>
      <c r="S23" s="19">
        <f>IF(J23="미제출",0,IF(K23="O",J23*0.66,J23))+IF(M23="미제출",0,IF(N23="O",M23*0.66,M23))</f>
        <v>140.5</v>
      </c>
      <c r="T23" s="20"/>
      <c r="U23" s="20"/>
      <c r="V23" s="20"/>
      <c r="W23" s="20"/>
      <c r="X23" s="21"/>
      <c r="Y23" s="19"/>
      <c r="Z23" s="23"/>
      <c r="AF23" s="36"/>
    </row>
    <row r="24" spans="1:32" ht="18" customHeight="1">
      <c r="A24" s="16">
        <v>10</v>
      </c>
      <c r="B24" s="1" t="s">
        <v>23</v>
      </c>
      <c r="C24" s="1"/>
      <c r="D24" s="1" t="s">
        <v>25</v>
      </c>
      <c r="E24" s="1" t="s">
        <v>46</v>
      </c>
      <c r="F24" s="1" t="s">
        <v>87</v>
      </c>
      <c r="G24" s="1" t="s">
        <v>88</v>
      </c>
      <c r="H24" s="1">
        <v>10</v>
      </c>
      <c r="I24" s="30"/>
      <c r="J24" s="17">
        <f>30 + 0.7 * (42 - 20)</f>
        <v>45.4</v>
      </c>
      <c r="K24" s="17"/>
      <c r="L24" s="18" t="s">
        <v>29</v>
      </c>
      <c r="M24" s="17">
        <f>30 + 0.7 * 32</f>
        <v>52.4</v>
      </c>
      <c r="N24" s="17"/>
      <c r="O24" s="18"/>
      <c r="P24" s="37" t="s">
        <v>30</v>
      </c>
      <c r="Q24" s="37"/>
      <c r="R24" s="38"/>
      <c r="S24" s="19">
        <f>IF(J24="미제출",0,IF(K24="O",J24*0.66,J24))+IF(M24="미제출",0,IF(N24="O",M24*0.66,M24))</f>
        <v>97.8</v>
      </c>
      <c r="T24" s="20"/>
      <c r="U24" s="20"/>
      <c r="V24" s="20"/>
      <c r="W24" s="20"/>
      <c r="X24" s="21"/>
      <c r="Y24" s="19"/>
      <c r="Z24" s="7"/>
      <c r="AF24" s="36"/>
    </row>
    <row r="25" spans="1:32" ht="18" customHeight="1">
      <c r="A25" s="16">
        <v>17</v>
      </c>
      <c r="B25" s="1" t="s">
        <v>23</v>
      </c>
      <c r="C25" s="1"/>
      <c r="D25" s="1" t="s">
        <v>25</v>
      </c>
      <c r="E25" s="1" t="s">
        <v>41</v>
      </c>
      <c r="F25" s="1" t="s">
        <v>89</v>
      </c>
      <c r="G25" s="4" t="s">
        <v>90</v>
      </c>
      <c r="H25" s="3">
        <v>0</v>
      </c>
      <c r="I25" s="30"/>
      <c r="J25" s="34" t="s">
        <v>30</v>
      </c>
      <c r="K25" s="34"/>
      <c r="L25" s="35"/>
      <c r="M25" s="37" t="s">
        <v>30</v>
      </c>
      <c r="N25" s="37"/>
      <c r="O25" s="38"/>
      <c r="P25" s="37" t="s">
        <v>30</v>
      </c>
      <c r="Q25" s="37"/>
      <c r="R25" s="38"/>
      <c r="S25" s="19">
        <f>IF(J25="미제출",0,IF(K25="O",J25*0.66,J25))+IF(M25="미제출",0,IF(N25="O",M25*0.66,M25))</f>
        <v>0</v>
      </c>
      <c r="T25" s="19"/>
      <c r="U25" s="19"/>
      <c r="V25" s="20"/>
      <c r="W25" s="20"/>
      <c r="X25" s="21"/>
      <c r="Y25" s="7"/>
      <c r="Z25" s="7"/>
      <c r="AF25" s="36"/>
    </row>
    <row r="26" spans="1:32" ht="18" customHeight="1">
      <c r="A26" s="16">
        <v>18</v>
      </c>
      <c r="B26" s="1" t="s">
        <v>31</v>
      </c>
      <c r="C26" s="1"/>
      <c r="D26" s="1" t="s">
        <v>25</v>
      </c>
      <c r="E26" s="1" t="s">
        <v>46</v>
      </c>
      <c r="F26" s="1" t="s">
        <v>91</v>
      </c>
      <c r="G26" s="1" t="s">
        <v>92</v>
      </c>
      <c r="H26" s="1">
        <v>10</v>
      </c>
      <c r="I26" s="31"/>
      <c r="J26" s="17">
        <f>30 + 0.7 * 78</f>
        <v>84.6</v>
      </c>
      <c r="K26" s="17"/>
      <c r="L26" s="18"/>
      <c r="M26" s="17">
        <f>30 + 0.7 * 34</f>
        <v>53.8</v>
      </c>
      <c r="N26" s="17"/>
      <c r="O26" s="18"/>
      <c r="P26" s="34"/>
      <c r="Q26" s="34"/>
      <c r="R26" s="35" t="s">
        <v>293</v>
      </c>
      <c r="S26" s="19">
        <f>IF(J26="미제출",0,IF(K26="O",J26*0.66,J26))+IF(M26="미제출",0,IF(N26="O",M26*0.66,M26))</f>
        <v>138.39999999999998</v>
      </c>
      <c r="T26" s="20"/>
      <c r="U26" s="20"/>
      <c r="V26" s="20"/>
      <c r="W26" s="20"/>
      <c r="X26" s="21"/>
      <c r="Y26" s="19"/>
      <c r="Z26" s="23"/>
      <c r="AF26" s="36"/>
    </row>
    <row r="27" spans="1:32" ht="18" customHeight="1">
      <c r="A27" s="16">
        <v>25</v>
      </c>
      <c r="B27" s="1" t="s">
        <v>23</v>
      </c>
      <c r="C27" s="1"/>
      <c r="D27" s="1" t="s">
        <v>25</v>
      </c>
      <c r="E27" s="1" t="s">
        <v>46</v>
      </c>
      <c r="F27" s="1" t="s">
        <v>93</v>
      </c>
      <c r="G27" s="1" t="s">
        <v>94</v>
      </c>
      <c r="H27" s="3">
        <v>0</v>
      </c>
      <c r="I27" s="30"/>
      <c r="J27" s="34" t="s">
        <v>30</v>
      </c>
      <c r="K27" s="34"/>
      <c r="L27" s="35"/>
      <c r="M27" s="37" t="s">
        <v>30</v>
      </c>
      <c r="N27" s="37"/>
      <c r="O27" s="38"/>
      <c r="P27" s="37" t="s">
        <v>30</v>
      </c>
      <c r="Q27" s="37"/>
      <c r="R27" s="38"/>
      <c r="S27" s="19">
        <f>IF(J27="미제출",0,IF(K27="O",J27*0.66,J27))+IF(M27="미제출",0,IF(N27="O",M27*0.66,M27))</f>
        <v>0</v>
      </c>
      <c r="T27" s="19"/>
      <c r="U27" s="19"/>
      <c r="V27" s="20"/>
      <c r="W27" s="20"/>
      <c r="X27" s="21"/>
      <c r="Y27" s="7"/>
      <c r="Z27" s="7"/>
      <c r="AF27" s="36"/>
    </row>
    <row r="28" spans="1:32" ht="18" customHeight="1">
      <c r="A28" s="16">
        <v>29</v>
      </c>
      <c r="B28" s="1" t="s">
        <v>23</v>
      </c>
      <c r="C28" s="1"/>
      <c r="D28" s="1" t="s">
        <v>25</v>
      </c>
      <c r="E28" s="1" t="s">
        <v>46</v>
      </c>
      <c r="F28" s="1" t="s">
        <v>95</v>
      </c>
      <c r="G28" s="1" t="s">
        <v>96</v>
      </c>
      <c r="H28" s="1">
        <v>10</v>
      </c>
      <c r="I28" s="30"/>
      <c r="J28" s="17">
        <f>30 + 0.7 * 40</f>
        <v>58</v>
      </c>
      <c r="K28" s="17"/>
      <c r="L28" s="7"/>
      <c r="M28" s="17">
        <f>30 + 0.7 * (32 + 20)</f>
        <v>66.400000000000006</v>
      </c>
      <c r="N28" s="17"/>
      <c r="O28" s="18" t="s">
        <v>35</v>
      </c>
      <c r="P28" s="37" t="s">
        <v>30</v>
      </c>
      <c r="Q28" s="37"/>
      <c r="R28" s="38"/>
      <c r="S28" s="19">
        <f>IF(J28="미제출",0,IF(K28="O",J28*0.66,J28))+IF(M28="미제출",0,IF(N28="O",M28*0.66,M28))</f>
        <v>124.4</v>
      </c>
      <c r="T28" s="19"/>
      <c r="U28" s="19"/>
      <c r="V28" s="20"/>
      <c r="W28" s="20"/>
      <c r="X28" s="21"/>
      <c r="Y28" s="7"/>
      <c r="Z28" s="7"/>
      <c r="AA28" s="24" t="s">
        <v>39</v>
      </c>
      <c r="AF28" s="36"/>
    </row>
    <row r="29" spans="1:32" ht="18" customHeight="1">
      <c r="A29" s="16">
        <v>31</v>
      </c>
      <c r="B29" s="1" t="s">
        <v>23</v>
      </c>
      <c r="C29" s="1"/>
      <c r="D29" s="1" t="s">
        <v>25</v>
      </c>
      <c r="E29" s="1" t="s">
        <v>46</v>
      </c>
      <c r="F29" s="1" t="s">
        <v>97</v>
      </c>
      <c r="G29" s="1" t="s">
        <v>98</v>
      </c>
      <c r="H29" s="1">
        <v>10</v>
      </c>
      <c r="I29" s="30"/>
      <c r="J29" s="17">
        <f>30 + 0.7 * (36 - 20)</f>
        <v>41.2</v>
      </c>
      <c r="K29" s="17"/>
      <c r="L29" s="18" t="s">
        <v>29</v>
      </c>
      <c r="M29" s="17">
        <f>30 + 0.7 * 82</f>
        <v>87.4</v>
      </c>
      <c r="N29" s="17"/>
      <c r="O29" s="7"/>
      <c r="P29" s="37" t="s">
        <v>30</v>
      </c>
      <c r="Q29" s="37"/>
      <c r="R29" s="38"/>
      <c r="S29" s="19">
        <f>IF(J29="미제출",0,IF(K29="O",J29*0.66,J29))+IF(M29="미제출",0,IF(N29="O",M29*0.66,M29))</f>
        <v>128.60000000000002</v>
      </c>
      <c r="T29" s="19"/>
      <c r="U29" s="19"/>
      <c r="V29" s="20"/>
      <c r="W29" s="20"/>
      <c r="X29" s="21"/>
      <c r="Y29" s="7"/>
      <c r="Z29" s="7"/>
      <c r="AF29" s="36"/>
    </row>
    <row r="30" spans="1:32" ht="18" customHeight="1">
      <c r="A30" s="16">
        <v>35</v>
      </c>
      <c r="B30" s="1" t="s">
        <v>23</v>
      </c>
      <c r="C30" s="1"/>
      <c r="D30" s="1" t="s">
        <v>25</v>
      </c>
      <c r="E30" s="1" t="s">
        <v>46</v>
      </c>
      <c r="F30" s="1" t="s">
        <v>99</v>
      </c>
      <c r="G30" s="1" t="s">
        <v>100</v>
      </c>
      <c r="H30" s="1">
        <v>10</v>
      </c>
      <c r="I30" s="30"/>
      <c r="J30" s="17">
        <f t="shared" ref="J30:J35" si="0">30 + 0.7 * 100</f>
        <v>100</v>
      </c>
      <c r="K30" s="17"/>
      <c r="L30" s="7"/>
      <c r="M30" s="17">
        <f>30 + 0.7 * 100</f>
        <v>100</v>
      </c>
      <c r="N30" s="17"/>
      <c r="O30" s="7"/>
      <c r="P30" s="17">
        <v>100</v>
      </c>
      <c r="Q30" s="17"/>
      <c r="R30" s="18"/>
      <c r="S30" s="19">
        <f>IF(J30="미제출",0,IF(K30="O",J30*0.66,J30))+IF(M30="미제출",0,IF(N30="O",M30*0.66,M30))</f>
        <v>200</v>
      </c>
      <c r="T30" s="19"/>
      <c r="U30" s="19"/>
      <c r="V30" s="20"/>
      <c r="W30" s="20"/>
      <c r="X30" s="21"/>
      <c r="Y30" s="7"/>
      <c r="Z30" s="7"/>
      <c r="AF30" s="36"/>
    </row>
    <row r="31" spans="1:32" ht="18" customHeight="1">
      <c r="A31" s="16">
        <v>37</v>
      </c>
      <c r="B31" s="1" t="s">
        <v>23</v>
      </c>
      <c r="C31" s="1"/>
      <c r="D31" s="1" t="s">
        <v>25</v>
      </c>
      <c r="E31" s="1" t="s">
        <v>46</v>
      </c>
      <c r="F31" s="1" t="s">
        <v>101</v>
      </c>
      <c r="G31" s="1" t="s">
        <v>102</v>
      </c>
      <c r="H31" s="1">
        <v>10</v>
      </c>
      <c r="I31" s="30"/>
      <c r="J31" s="17">
        <f t="shared" si="0"/>
        <v>100</v>
      </c>
      <c r="K31" s="17"/>
      <c r="L31" s="7"/>
      <c r="M31" s="17">
        <f>30 + 0.7 * 100</f>
        <v>100</v>
      </c>
      <c r="N31" s="17"/>
      <c r="O31" s="7"/>
      <c r="P31" s="34"/>
      <c r="Q31" s="34"/>
      <c r="R31" s="35" t="s">
        <v>293</v>
      </c>
      <c r="S31" s="19">
        <f>IF(J31="미제출",0,IF(K31="O",J31*0.66,J31))+IF(M31="미제출",0,IF(N31="O",M31*0.66,M31))</f>
        <v>200</v>
      </c>
      <c r="T31" s="19"/>
      <c r="U31" s="19"/>
      <c r="V31" s="20"/>
      <c r="W31" s="20"/>
      <c r="X31" s="21"/>
      <c r="Y31" s="7"/>
      <c r="Z31" s="7"/>
      <c r="AF31" s="36"/>
    </row>
    <row r="32" spans="1:32" ht="18" customHeight="1">
      <c r="A32" s="16">
        <v>38</v>
      </c>
      <c r="B32" s="1" t="s">
        <v>23</v>
      </c>
      <c r="C32" s="1"/>
      <c r="D32" s="1" t="s">
        <v>25</v>
      </c>
      <c r="E32" s="1" t="s">
        <v>46</v>
      </c>
      <c r="F32" s="1" t="s">
        <v>103</v>
      </c>
      <c r="G32" s="1" t="s">
        <v>104</v>
      </c>
      <c r="H32" s="1">
        <v>10</v>
      </c>
      <c r="I32" s="30"/>
      <c r="J32" s="17">
        <f t="shared" si="0"/>
        <v>100</v>
      </c>
      <c r="K32" s="17"/>
      <c r="L32" s="7"/>
      <c r="M32" s="17">
        <f>30 + 0.7 * 100</f>
        <v>100</v>
      </c>
      <c r="N32" s="17"/>
      <c r="O32" s="7"/>
      <c r="P32" s="17">
        <v>100</v>
      </c>
      <c r="Q32" s="17"/>
      <c r="R32" s="18"/>
      <c r="S32" s="19">
        <f>IF(J32="미제출",0,IF(K32="O",J32*0.66,J32))+IF(M32="미제출",0,IF(N32="O",M32*0.66,M32))</f>
        <v>200</v>
      </c>
      <c r="T32" s="19"/>
      <c r="U32" s="19"/>
      <c r="V32" s="20"/>
      <c r="W32" s="20"/>
      <c r="X32" s="21"/>
      <c r="Y32" s="7"/>
      <c r="Z32" s="7"/>
      <c r="AF32" s="36"/>
    </row>
    <row r="33" spans="1:32" ht="18" customHeight="1">
      <c r="A33" s="16">
        <v>48</v>
      </c>
      <c r="B33" s="1" t="s">
        <v>23</v>
      </c>
      <c r="C33" s="1"/>
      <c r="D33" s="1" t="s">
        <v>25</v>
      </c>
      <c r="E33" s="1" t="s">
        <v>46</v>
      </c>
      <c r="F33" s="1" t="s">
        <v>105</v>
      </c>
      <c r="G33" s="1" t="s">
        <v>106</v>
      </c>
      <c r="H33" s="1">
        <v>10</v>
      </c>
      <c r="I33" s="30"/>
      <c r="J33" s="17">
        <f t="shared" si="0"/>
        <v>100</v>
      </c>
      <c r="K33" s="17"/>
      <c r="L33" s="7"/>
      <c r="M33" s="17">
        <f>30 + 0.7 * 0</f>
        <v>30</v>
      </c>
      <c r="N33" s="17"/>
      <c r="O33" s="7" t="s">
        <v>107</v>
      </c>
      <c r="P33" s="37" t="s">
        <v>30</v>
      </c>
      <c r="Q33" s="37"/>
      <c r="R33" s="38"/>
      <c r="S33" s="19">
        <f>IF(J33="미제출",0,IF(K33="O",J33*0.66,J33))+IF(M33="미제출",0,IF(N33="O",M33*0.66,M33))</f>
        <v>130</v>
      </c>
      <c r="T33" s="19"/>
      <c r="U33" s="19"/>
      <c r="V33" s="20"/>
      <c r="W33" s="20"/>
      <c r="X33" s="21"/>
      <c r="Y33" s="7"/>
      <c r="Z33" s="7"/>
      <c r="AF33" s="36"/>
    </row>
    <row r="34" spans="1:32" ht="18" customHeight="1">
      <c r="A34" s="16">
        <v>51</v>
      </c>
      <c r="B34" s="1" t="s">
        <v>31</v>
      </c>
      <c r="C34" s="1"/>
      <c r="D34" s="1" t="s">
        <v>25</v>
      </c>
      <c r="E34" s="1" t="s">
        <v>46</v>
      </c>
      <c r="F34" s="1" t="s">
        <v>108</v>
      </c>
      <c r="G34" s="1" t="s">
        <v>109</v>
      </c>
      <c r="H34" s="1">
        <v>10</v>
      </c>
      <c r="I34" s="31"/>
      <c r="J34" s="17">
        <f t="shared" si="0"/>
        <v>100</v>
      </c>
      <c r="K34" s="17"/>
      <c r="L34" s="18"/>
      <c r="M34" s="17">
        <f>30 + 0.7 * 0</f>
        <v>30</v>
      </c>
      <c r="N34" s="17"/>
      <c r="O34" s="18" t="s">
        <v>110</v>
      </c>
      <c r="P34" s="37" t="s">
        <v>30</v>
      </c>
      <c r="Q34" s="37"/>
      <c r="R34" s="38"/>
      <c r="S34" s="19">
        <f>IF(J34="미제출",0,IF(K34="O",J34*0.66,J34))+IF(M34="미제출",0,IF(N34="O",M34*0.66,M34))</f>
        <v>130</v>
      </c>
      <c r="T34" s="20"/>
      <c r="U34" s="20"/>
      <c r="V34" s="20"/>
      <c r="W34" s="20"/>
      <c r="X34" s="21"/>
      <c r="Y34" s="19"/>
      <c r="Z34" s="23"/>
      <c r="AF34" s="36"/>
    </row>
    <row r="35" spans="1:32" ht="18" customHeight="1">
      <c r="A35" s="16">
        <v>53</v>
      </c>
      <c r="B35" s="1" t="s">
        <v>23</v>
      </c>
      <c r="C35" s="1"/>
      <c r="D35" s="1" t="s">
        <v>25</v>
      </c>
      <c r="E35" s="1" t="s">
        <v>41</v>
      </c>
      <c r="F35" s="1" t="s">
        <v>111</v>
      </c>
      <c r="G35" s="1" t="s">
        <v>112</v>
      </c>
      <c r="H35" s="1">
        <v>10</v>
      </c>
      <c r="I35" s="30"/>
      <c r="J35" s="17">
        <f t="shared" si="0"/>
        <v>100</v>
      </c>
      <c r="K35" s="17"/>
      <c r="L35" s="7"/>
      <c r="M35" s="17">
        <f>30 + 0.7 * 100</f>
        <v>100</v>
      </c>
      <c r="N35" s="17"/>
      <c r="O35" s="7"/>
      <c r="P35" s="34"/>
      <c r="Q35" s="34"/>
      <c r="R35" s="50" t="s">
        <v>294</v>
      </c>
      <c r="S35" s="19">
        <f>IF(J35="미제출",0,IF(K35="O",J35*0.66,J35))+IF(M35="미제출",0,IF(N35="O",M35*0.66,M35))</f>
        <v>200</v>
      </c>
      <c r="T35" s="19"/>
      <c r="U35" s="19"/>
      <c r="V35" s="20"/>
      <c r="W35" s="20"/>
      <c r="X35" s="21"/>
      <c r="Y35" s="7"/>
      <c r="Z35" s="7"/>
      <c r="AF35" s="36"/>
    </row>
    <row r="36" spans="1:32" ht="18" customHeight="1">
      <c r="A36" s="16">
        <v>54</v>
      </c>
      <c r="B36" s="1" t="s">
        <v>23</v>
      </c>
      <c r="C36" s="1"/>
      <c r="D36" s="1" t="s">
        <v>25</v>
      </c>
      <c r="E36" s="1" t="s">
        <v>46</v>
      </c>
      <c r="F36" s="1" t="s">
        <v>113</v>
      </c>
      <c r="G36" s="1" t="s">
        <v>114</v>
      </c>
      <c r="H36" s="1">
        <v>10</v>
      </c>
      <c r="I36" s="30"/>
      <c r="J36" s="17">
        <f>30 + 0.7 * 88</f>
        <v>91.6</v>
      </c>
      <c r="K36" s="17"/>
      <c r="L36" s="18"/>
      <c r="M36" s="17">
        <f>30 + 0.7 * 16</f>
        <v>41.2</v>
      </c>
      <c r="N36" s="17"/>
      <c r="O36" s="18"/>
      <c r="P36" s="37" t="s">
        <v>30</v>
      </c>
      <c r="Q36" s="37"/>
      <c r="R36" s="38"/>
      <c r="S36" s="19">
        <f>IF(J36="미제출",0,IF(K36="O",J36*0.66,J36))+IF(M36="미제출",0,IF(N36="O",M36*0.66,M36))</f>
        <v>132.80000000000001</v>
      </c>
      <c r="T36" s="20"/>
      <c r="U36" s="20"/>
      <c r="V36" s="20"/>
      <c r="W36" s="20"/>
      <c r="X36" s="21"/>
      <c r="Y36" s="19"/>
      <c r="Z36" s="23"/>
      <c r="AF36" s="36"/>
    </row>
    <row r="37" spans="1:32" ht="18" customHeight="1">
      <c r="A37" s="16">
        <v>56</v>
      </c>
      <c r="B37" s="1" t="s">
        <v>23</v>
      </c>
      <c r="C37" s="1"/>
      <c r="D37" s="1" t="s">
        <v>25</v>
      </c>
      <c r="E37" s="1" t="s">
        <v>46</v>
      </c>
      <c r="F37" s="1" t="s">
        <v>115</v>
      </c>
      <c r="G37" s="1" t="s">
        <v>116</v>
      </c>
      <c r="H37" s="3">
        <v>0</v>
      </c>
      <c r="I37" s="30"/>
      <c r="J37" s="17">
        <f>30 + 0.7 * (50 - 20)</f>
        <v>51</v>
      </c>
      <c r="K37" s="17"/>
      <c r="L37" s="18" t="s">
        <v>29</v>
      </c>
      <c r="M37" s="17">
        <f>30 + 0.7 * 32</f>
        <v>52.4</v>
      </c>
      <c r="N37" s="17"/>
      <c r="O37" s="18"/>
      <c r="P37" s="37" t="s">
        <v>30</v>
      </c>
      <c r="Q37" s="37"/>
      <c r="R37" s="38"/>
      <c r="S37" s="19">
        <f>IF(J37="미제출",0,IF(K37="O",J37*0.66,J37))+IF(M37="미제출",0,IF(N37="O",M37*0.66,M37))</f>
        <v>103.4</v>
      </c>
      <c r="T37" s="20"/>
      <c r="U37" s="20"/>
      <c r="V37" s="20"/>
      <c r="W37" s="20"/>
      <c r="X37" s="21"/>
      <c r="Y37" s="19"/>
      <c r="Z37" s="23"/>
      <c r="AF37" s="36"/>
    </row>
    <row r="38" spans="1:32" ht="18" customHeight="1">
      <c r="A38" s="16">
        <v>68</v>
      </c>
      <c r="B38" s="1" t="s">
        <v>23</v>
      </c>
      <c r="C38" s="1"/>
      <c r="D38" s="1" t="s">
        <v>25</v>
      </c>
      <c r="E38" s="1" t="s">
        <v>46</v>
      </c>
      <c r="F38" s="1" t="s">
        <v>117</v>
      </c>
      <c r="G38" s="1" t="s">
        <v>118</v>
      </c>
      <c r="H38" s="1">
        <v>10</v>
      </c>
      <c r="I38" s="30"/>
      <c r="J38" s="17">
        <f>30 + 0.7 * 32</f>
        <v>52.4</v>
      </c>
      <c r="K38" s="17"/>
      <c r="L38" s="18"/>
      <c r="M38" s="17">
        <f>30 + 0.7 * 100</f>
        <v>100</v>
      </c>
      <c r="N38" s="17"/>
      <c r="O38" s="18"/>
      <c r="P38" s="37" t="s">
        <v>30</v>
      </c>
      <c r="Q38" s="37"/>
      <c r="R38" s="38"/>
      <c r="S38" s="19">
        <f>IF(J38="미제출",0,IF(K38="O",J38*0.66,J38))+IF(M38="미제출",0,IF(N38="O",M38*0.66,M38))</f>
        <v>152.4</v>
      </c>
      <c r="T38" s="20"/>
      <c r="U38" s="20"/>
      <c r="V38" s="20"/>
      <c r="W38" s="20"/>
      <c r="X38" s="21"/>
      <c r="Y38" s="26"/>
      <c r="Z38" s="23"/>
      <c r="AF38" s="36"/>
    </row>
    <row r="39" spans="1:32" ht="18" customHeight="1">
      <c r="A39" s="16">
        <v>71</v>
      </c>
      <c r="B39" s="1" t="s">
        <v>23</v>
      </c>
      <c r="C39" s="1"/>
      <c r="D39" s="1" t="s">
        <v>25</v>
      </c>
      <c r="E39" s="1" t="s">
        <v>46</v>
      </c>
      <c r="F39" s="1" t="s">
        <v>119</v>
      </c>
      <c r="G39" s="1" t="s">
        <v>120</v>
      </c>
      <c r="H39" s="1">
        <v>10</v>
      </c>
      <c r="I39" s="30"/>
      <c r="J39" s="17">
        <f>30 + 0.7 * 88</f>
        <v>91.6</v>
      </c>
      <c r="K39" s="17" t="s">
        <v>85</v>
      </c>
      <c r="L39" s="18"/>
      <c r="M39" s="17">
        <f>30 + 0.7 * 50</f>
        <v>65</v>
      </c>
      <c r="N39" s="17"/>
      <c r="O39" s="18"/>
      <c r="P39" s="17">
        <v>74</v>
      </c>
      <c r="Q39" s="17"/>
      <c r="R39" s="18"/>
      <c r="S39" s="19">
        <f>IF(J39="미제출",0,IF(K39="O",J39*0.66,J39))+IF(M39="미제출",0,IF(N39="O",M39*0.66,M39))</f>
        <v>125.45599999999999</v>
      </c>
      <c r="T39" s="20"/>
      <c r="U39" s="20"/>
      <c r="V39" s="20"/>
      <c r="W39" s="20"/>
      <c r="X39" s="21"/>
      <c r="Y39" s="19"/>
      <c r="Z39" s="23"/>
      <c r="AF39" s="36"/>
    </row>
    <row r="40" spans="1:32" ht="18" customHeight="1">
      <c r="A40" s="16">
        <v>77</v>
      </c>
      <c r="B40" s="1" t="s">
        <v>23</v>
      </c>
      <c r="C40" s="1"/>
      <c r="D40" s="1" t="s">
        <v>25</v>
      </c>
      <c r="E40" s="1" t="s">
        <v>46</v>
      </c>
      <c r="F40" s="1" t="s">
        <v>121</v>
      </c>
      <c r="G40" s="1" t="s">
        <v>122</v>
      </c>
      <c r="H40" s="3">
        <v>0</v>
      </c>
      <c r="I40" s="31"/>
      <c r="J40" s="34" t="s">
        <v>30</v>
      </c>
      <c r="K40" s="34"/>
      <c r="L40" s="35"/>
      <c r="M40" s="37" t="s">
        <v>30</v>
      </c>
      <c r="N40" s="37"/>
      <c r="O40" s="38"/>
      <c r="P40" s="51" t="s">
        <v>30</v>
      </c>
      <c r="Q40" s="52"/>
      <c r="R40" s="53"/>
      <c r="S40" s="19">
        <f>IF(J40="미제출",0,IF(K40="O",J40*0.66,J40))+IF(M40="미제출",0,IF(N40="O",M40*0.66,M40))</f>
        <v>0</v>
      </c>
      <c r="T40" s="20"/>
      <c r="U40" s="20"/>
      <c r="V40" s="20"/>
      <c r="W40" s="20"/>
      <c r="X40" s="21"/>
      <c r="Y40" s="19"/>
      <c r="Z40" s="23"/>
      <c r="AF40" s="36"/>
    </row>
    <row r="41" spans="1:32" ht="18" customHeight="1">
      <c r="A41" s="16">
        <v>80</v>
      </c>
      <c r="B41" s="1" t="s">
        <v>23</v>
      </c>
      <c r="C41" s="1"/>
      <c r="D41" s="1" t="s">
        <v>25</v>
      </c>
      <c r="E41" s="1" t="s">
        <v>46</v>
      </c>
      <c r="F41" s="1" t="s">
        <v>123</v>
      </c>
      <c r="G41" s="1" t="s">
        <v>124</v>
      </c>
      <c r="H41" s="1">
        <v>10</v>
      </c>
      <c r="I41" s="31"/>
      <c r="J41" s="17">
        <f>30 + 0.7 * 100</f>
        <v>100</v>
      </c>
      <c r="K41" s="17"/>
      <c r="L41" s="7"/>
      <c r="M41" s="17">
        <f>30 + 0.7 * 100</f>
        <v>100</v>
      </c>
      <c r="N41" s="17"/>
      <c r="O41" s="7"/>
      <c r="P41" s="17">
        <v>100</v>
      </c>
      <c r="Q41" s="17"/>
      <c r="R41" s="7"/>
      <c r="S41" s="19">
        <f>IF(J41="미제출",0,IF(K41="O",J41*0.66,J41))+IF(M41="미제출",0,IF(N41="O",M41*0.66,M41))</f>
        <v>200</v>
      </c>
      <c r="T41" s="20"/>
      <c r="U41" s="20"/>
      <c r="V41" s="20"/>
      <c r="W41" s="20"/>
      <c r="X41" s="21"/>
      <c r="Y41" s="7"/>
      <c r="Z41" s="23"/>
      <c r="AF41" s="36"/>
    </row>
    <row r="42" spans="1:32" ht="18" customHeight="1">
      <c r="A42" s="16">
        <v>82</v>
      </c>
      <c r="B42" s="1" t="s">
        <v>31</v>
      </c>
      <c r="C42" s="1"/>
      <c r="D42" s="1" t="s">
        <v>25</v>
      </c>
      <c r="E42" s="1" t="s">
        <v>46</v>
      </c>
      <c r="F42" s="1" t="s">
        <v>125</v>
      </c>
      <c r="G42" s="1" t="s">
        <v>126</v>
      </c>
      <c r="H42" s="3">
        <v>0</v>
      </c>
      <c r="I42" s="31"/>
      <c r="J42" s="17">
        <f>30 + 0.7 * 100</f>
        <v>100</v>
      </c>
      <c r="K42" s="17"/>
      <c r="L42" s="7"/>
      <c r="M42" s="17">
        <f>30 + 0.7 * 96</f>
        <v>97.199999999999989</v>
      </c>
      <c r="N42" s="17"/>
      <c r="O42" s="7"/>
      <c r="P42" s="34"/>
      <c r="Q42" s="34"/>
      <c r="R42" s="50"/>
      <c r="S42" s="19">
        <f>IF(J42="미제출",0,IF(K42="O",J42*0.66,J42))+IF(M42="미제출",0,IF(N42="O",M42*0.66,M42))</f>
        <v>197.2</v>
      </c>
      <c r="T42" s="20"/>
      <c r="U42" s="20"/>
      <c r="V42" s="20"/>
      <c r="W42" s="20"/>
      <c r="X42" s="21"/>
      <c r="Y42" s="7"/>
      <c r="Z42" s="23"/>
      <c r="AF42" s="36"/>
    </row>
    <row r="43" spans="1:32" ht="18" customHeight="1">
      <c r="A43" s="16">
        <v>100</v>
      </c>
      <c r="B43" s="1" t="s">
        <v>31</v>
      </c>
      <c r="C43" s="1"/>
      <c r="D43" s="1" t="s">
        <v>25</v>
      </c>
      <c r="E43" s="1" t="s">
        <v>46</v>
      </c>
      <c r="F43" s="1" t="s">
        <v>127</v>
      </c>
      <c r="G43" s="1" t="s">
        <v>128</v>
      </c>
      <c r="H43" s="1">
        <v>10</v>
      </c>
      <c r="I43" s="31"/>
      <c r="J43" s="17">
        <f>30 + 0.7 * (46 - 20)</f>
        <v>48.2</v>
      </c>
      <c r="K43" s="17"/>
      <c r="L43" s="18" t="s">
        <v>29</v>
      </c>
      <c r="M43" s="17">
        <f>30 + 0.7 * (0 + 20)</f>
        <v>44</v>
      </c>
      <c r="N43" s="17"/>
      <c r="O43" s="18" t="s">
        <v>35</v>
      </c>
      <c r="P43" s="51" t="s">
        <v>30</v>
      </c>
      <c r="Q43" s="52"/>
      <c r="R43" s="53"/>
      <c r="S43" s="19">
        <f>IF(J43="미제출",0,IF(K43="O",J43*0.66,J43))+IF(M43="미제출",0,IF(N43="O",M43*0.66,M43))</f>
        <v>92.2</v>
      </c>
      <c r="T43" s="20"/>
      <c r="U43" s="20"/>
      <c r="V43" s="20"/>
      <c r="W43" s="20"/>
      <c r="X43" s="21"/>
      <c r="Y43" s="19"/>
      <c r="Z43" s="23"/>
      <c r="AF43" s="36"/>
    </row>
    <row r="44" spans="1:32" ht="18" customHeight="1">
      <c r="A44" s="16">
        <v>91</v>
      </c>
      <c r="B44" s="1" t="s">
        <v>23</v>
      </c>
      <c r="C44" s="1"/>
      <c r="D44" s="1" t="s">
        <v>25</v>
      </c>
      <c r="E44" s="1" t="s">
        <v>46</v>
      </c>
      <c r="F44" s="1" t="s">
        <v>129</v>
      </c>
      <c r="G44" s="1" t="s">
        <v>130</v>
      </c>
      <c r="H44" s="1">
        <v>10</v>
      </c>
      <c r="I44" s="31"/>
      <c r="J44" s="17">
        <f>30 + 0.7 * 100</f>
        <v>100</v>
      </c>
      <c r="K44" s="17"/>
      <c r="L44" s="18"/>
      <c r="M44" s="17">
        <f>30 + 0.7 * 88</f>
        <v>91.6</v>
      </c>
      <c r="N44" s="17"/>
      <c r="O44" s="18"/>
      <c r="P44" s="34">
        <v>64</v>
      </c>
      <c r="Q44" s="34"/>
      <c r="R44" s="35" t="s">
        <v>293</v>
      </c>
      <c r="S44" s="19">
        <f>IF(J44="미제출",0,IF(K44="O",J44*0.66,J44))+IF(M44="미제출",0,IF(N44="O",M44*0.66,M44))</f>
        <v>191.6</v>
      </c>
      <c r="T44" s="20"/>
      <c r="U44" s="20"/>
      <c r="V44" s="20"/>
      <c r="W44" s="20"/>
      <c r="X44" s="21"/>
      <c r="Y44" s="19"/>
      <c r="Z44" s="7"/>
      <c r="AF44" s="36"/>
    </row>
    <row r="45" spans="1:32" ht="18" customHeight="1">
      <c r="A45" s="16">
        <v>57</v>
      </c>
      <c r="B45" s="1" t="s">
        <v>23</v>
      </c>
      <c r="C45" s="1"/>
      <c r="D45" s="5" t="s">
        <v>131</v>
      </c>
      <c r="E45" s="1" t="s">
        <v>46</v>
      </c>
      <c r="F45" s="1" t="s">
        <v>132</v>
      </c>
      <c r="G45" s="1" t="s">
        <v>133</v>
      </c>
      <c r="H45" s="1">
        <v>10</v>
      </c>
      <c r="I45" s="30"/>
      <c r="J45" s="17">
        <f>30 + 0.7 * 44</f>
        <v>60.8</v>
      </c>
      <c r="K45" s="17"/>
      <c r="L45" s="27"/>
      <c r="M45" s="17">
        <f>30 + 0.7 * 100</f>
        <v>100</v>
      </c>
      <c r="N45" s="17"/>
      <c r="O45" s="27"/>
      <c r="P45" s="17">
        <v>100</v>
      </c>
      <c r="Q45" s="17"/>
      <c r="R45" s="27"/>
      <c r="S45" s="19">
        <f>IF(J45="미제출",0,IF(K45="O",J45*0.66,J45))+IF(M45="미제출",0,IF(N45="O",M45*0.66,M45))</f>
        <v>160.80000000000001</v>
      </c>
      <c r="T45" s="20"/>
      <c r="U45" s="20"/>
      <c r="V45" s="20"/>
      <c r="W45" s="20"/>
      <c r="X45" s="21"/>
      <c r="Y45" s="19"/>
      <c r="Z45" s="23"/>
      <c r="AF45" s="36"/>
    </row>
    <row r="46" spans="1:32" ht="18" customHeight="1">
      <c r="A46" s="16">
        <v>8</v>
      </c>
      <c r="B46" s="1" t="s">
        <v>23</v>
      </c>
      <c r="C46" s="1"/>
      <c r="D46" s="1" t="s">
        <v>25</v>
      </c>
      <c r="E46" s="1" t="s">
        <v>26</v>
      </c>
      <c r="F46" s="1" t="s">
        <v>134</v>
      </c>
      <c r="G46" s="1" t="s">
        <v>135</v>
      </c>
      <c r="H46" s="3">
        <v>0</v>
      </c>
      <c r="I46" s="30"/>
      <c r="J46" s="17">
        <f>30 + 0.7 * 0</f>
        <v>30</v>
      </c>
      <c r="K46" s="17"/>
      <c r="L46" s="18"/>
      <c r="M46" s="37" t="s">
        <v>30</v>
      </c>
      <c r="N46" s="37"/>
      <c r="O46" s="38"/>
      <c r="P46" s="51" t="s">
        <v>30</v>
      </c>
      <c r="Q46" s="52"/>
      <c r="R46" s="53"/>
      <c r="S46" s="19">
        <f>IF(J46="미제출",0,IF(K46="O",J46*0.66,J46))+IF(M46="미제출",0,IF(N46="O",M46*0.66,M46))</f>
        <v>30</v>
      </c>
      <c r="T46" s="20"/>
      <c r="U46" s="20"/>
      <c r="V46" s="20"/>
      <c r="W46" s="20"/>
      <c r="X46" s="21"/>
      <c r="Y46" s="19"/>
      <c r="Z46" s="7"/>
      <c r="AF46" s="36"/>
    </row>
    <row r="47" spans="1:32" ht="36" customHeight="1">
      <c r="A47" s="16">
        <v>12</v>
      </c>
      <c r="B47" s="1" t="s">
        <v>23</v>
      </c>
      <c r="C47" s="2" t="s">
        <v>136</v>
      </c>
      <c r="D47" s="1" t="s">
        <v>25</v>
      </c>
      <c r="E47" s="1" t="s">
        <v>26</v>
      </c>
      <c r="F47" s="1" t="s">
        <v>137</v>
      </c>
      <c r="G47" s="1" t="s">
        <v>138</v>
      </c>
      <c r="H47" s="1">
        <v>10</v>
      </c>
      <c r="I47" s="30"/>
      <c r="J47" s="17">
        <f>30 + 0.7 * (32 - 20)</f>
        <v>38.4</v>
      </c>
      <c r="K47" s="17" t="s">
        <v>85</v>
      </c>
      <c r="L47" s="7" t="s">
        <v>139</v>
      </c>
      <c r="M47" s="37" t="s">
        <v>30</v>
      </c>
      <c r="N47" s="37"/>
      <c r="O47" s="39"/>
      <c r="P47" s="51" t="s">
        <v>30</v>
      </c>
      <c r="Q47" s="52"/>
      <c r="R47" s="53"/>
      <c r="S47" s="19">
        <f>IF(J47="미제출",0,IF(K47="O",J47*0.66,J47))+IF(M47="미제출",0,IF(N47="O",M47*0.66,M47))</f>
        <v>25.344000000000001</v>
      </c>
      <c r="T47" s="19"/>
      <c r="U47" s="19"/>
      <c r="V47" s="20"/>
      <c r="W47" s="20"/>
      <c r="X47" s="21"/>
      <c r="Y47" s="7"/>
      <c r="Z47" s="7"/>
      <c r="AF47" s="36"/>
    </row>
    <row r="48" spans="1:32" ht="18" customHeight="1">
      <c r="A48" s="16">
        <v>16</v>
      </c>
      <c r="B48" s="1" t="s">
        <v>31</v>
      </c>
      <c r="C48" s="1"/>
      <c r="D48" s="1" t="s">
        <v>40</v>
      </c>
      <c r="E48" s="1" t="s">
        <v>41</v>
      </c>
      <c r="F48" s="1" t="s">
        <v>140</v>
      </c>
      <c r="G48" s="1" t="s">
        <v>141</v>
      </c>
      <c r="H48" s="3">
        <v>0</v>
      </c>
      <c r="I48" s="31"/>
      <c r="J48" s="17">
        <f>30 + 0.7 * 100</f>
        <v>100</v>
      </c>
      <c r="K48" s="17"/>
      <c r="L48" s="18"/>
      <c r="M48" s="17">
        <f>30 + 0.7 * (32 + 20)</f>
        <v>66.400000000000006</v>
      </c>
      <c r="N48" s="17"/>
      <c r="O48" s="18" t="s">
        <v>35</v>
      </c>
      <c r="P48" s="51" t="s">
        <v>30</v>
      </c>
      <c r="Q48" s="52"/>
      <c r="R48" s="53"/>
      <c r="S48" s="19">
        <f>IF(J48="미제출",0,IF(K48="O",J48*0.66,J48))+IF(M48="미제출",0,IF(N48="O",M48*0.66,M48))</f>
        <v>166.4</v>
      </c>
      <c r="T48" s="20"/>
      <c r="U48" s="20"/>
      <c r="V48" s="20"/>
      <c r="W48" s="20"/>
      <c r="X48" s="21"/>
      <c r="Y48" s="19"/>
      <c r="Z48" s="7"/>
      <c r="AF48" s="36"/>
    </row>
    <row r="49" spans="1:32" ht="18" customHeight="1">
      <c r="A49" s="16">
        <v>19</v>
      </c>
      <c r="B49" s="1" t="s">
        <v>31</v>
      </c>
      <c r="C49" s="1"/>
      <c r="D49" s="1" t="s">
        <v>25</v>
      </c>
      <c r="E49" s="1" t="s">
        <v>26</v>
      </c>
      <c r="F49" s="1" t="s">
        <v>142</v>
      </c>
      <c r="G49" s="6" t="s">
        <v>143</v>
      </c>
      <c r="H49" s="3">
        <v>0</v>
      </c>
      <c r="I49" s="31"/>
      <c r="J49" s="17">
        <f>30 + 0.7 * (90 - 20)</f>
        <v>79</v>
      </c>
      <c r="K49" s="17"/>
      <c r="L49" s="18" t="s">
        <v>29</v>
      </c>
      <c r="M49" s="17">
        <f>30 + 0.7 * 0</f>
        <v>30</v>
      </c>
      <c r="N49" s="17"/>
      <c r="O49" s="18" t="s">
        <v>110</v>
      </c>
      <c r="P49" s="51" t="s">
        <v>30</v>
      </c>
      <c r="Q49" s="52"/>
      <c r="R49" s="53"/>
      <c r="S49" s="19">
        <f>IF(J49="미제출",0,IF(K49="O",J49*0.66,J49))+IF(M49="미제출",0,IF(N49="O",M49*0.66,M49))</f>
        <v>109</v>
      </c>
      <c r="T49" s="20"/>
      <c r="U49" s="20"/>
      <c r="V49" s="20"/>
      <c r="W49" s="20"/>
      <c r="X49" s="21"/>
      <c r="Y49" s="19"/>
      <c r="Z49" s="23"/>
      <c r="AF49" s="36"/>
    </row>
    <row r="50" spans="1:32" ht="18" customHeight="1">
      <c r="A50" s="16">
        <v>23</v>
      </c>
      <c r="B50" s="1" t="s">
        <v>23</v>
      </c>
      <c r="C50" s="1"/>
      <c r="D50" s="1" t="s">
        <v>40</v>
      </c>
      <c r="E50" s="1" t="s">
        <v>41</v>
      </c>
      <c r="F50" s="1" t="s">
        <v>144</v>
      </c>
      <c r="G50" s="1" t="s">
        <v>145</v>
      </c>
      <c r="H50" s="1">
        <v>10</v>
      </c>
      <c r="I50" s="30"/>
      <c r="J50" s="17">
        <f>30 + 0.7 * 100</f>
        <v>100</v>
      </c>
      <c r="K50" s="17"/>
      <c r="L50" s="7"/>
      <c r="M50" s="17">
        <f>30 + 0.7 * 100</f>
        <v>100</v>
      </c>
      <c r="N50" s="17"/>
      <c r="O50" s="7"/>
      <c r="P50" s="34">
        <v>58</v>
      </c>
      <c r="Q50" s="34"/>
      <c r="R50" s="50"/>
      <c r="S50" s="19">
        <f>IF(J50="미제출",0,IF(K50="O",J50*0.66,J50))+IF(M50="미제출",0,IF(N50="O",M50*0.66,M50))</f>
        <v>200</v>
      </c>
      <c r="T50" s="19"/>
      <c r="U50" s="19"/>
      <c r="V50" s="20"/>
      <c r="W50" s="20"/>
      <c r="X50" s="21"/>
      <c r="Y50" s="7"/>
      <c r="Z50" s="7"/>
      <c r="AF50" s="36"/>
    </row>
    <row r="51" spans="1:32" ht="18" customHeight="1">
      <c r="A51" s="16">
        <v>28</v>
      </c>
      <c r="B51" s="1" t="s">
        <v>31</v>
      </c>
      <c r="C51" s="1"/>
      <c r="D51" s="1" t="s">
        <v>40</v>
      </c>
      <c r="E51" s="1" t="s">
        <v>41</v>
      </c>
      <c r="F51" s="1" t="s">
        <v>146</v>
      </c>
      <c r="G51" s="1" t="s">
        <v>147</v>
      </c>
      <c r="H51" s="1">
        <v>10</v>
      </c>
      <c r="I51" s="31"/>
      <c r="J51" s="17">
        <f>30 + 0.7 * 100</f>
        <v>100</v>
      </c>
      <c r="K51" s="17"/>
      <c r="L51" s="7"/>
      <c r="M51" s="17">
        <f>30 + 0.7 * 52</f>
        <v>66.400000000000006</v>
      </c>
      <c r="N51" s="17"/>
      <c r="O51" s="7"/>
      <c r="P51" s="51" t="s">
        <v>30</v>
      </c>
      <c r="Q51" s="52"/>
      <c r="R51" s="53"/>
      <c r="S51" s="19">
        <f>IF(J51="미제출",0,IF(K51="O",J51*0.66,J51))+IF(M51="미제출",0,IF(N51="O",M51*0.66,M51))</f>
        <v>166.4</v>
      </c>
      <c r="T51" s="20"/>
      <c r="U51" s="20"/>
      <c r="V51" s="20"/>
      <c r="W51" s="20"/>
      <c r="X51" s="21"/>
      <c r="Y51" s="7"/>
      <c r="Z51" s="23"/>
      <c r="AF51" s="36"/>
    </row>
    <row r="52" spans="1:32" ht="18" customHeight="1">
      <c r="A52" s="16">
        <v>32</v>
      </c>
      <c r="B52" s="1" t="s">
        <v>23</v>
      </c>
      <c r="C52" s="1"/>
      <c r="D52" s="1" t="s">
        <v>40</v>
      </c>
      <c r="E52" s="1" t="s">
        <v>41</v>
      </c>
      <c r="F52" s="1" t="s">
        <v>148</v>
      </c>
      <c r="G52" s="1" t="s">
        <v>149</v>
      </c>
      <c r="H52" s="1">
        <v>10</v>
      </c>
      <c r="I52" s="30"/>
      <c r="J52" s="17">
        <f>30 + 0.7 * 0</f>
        <v>30</v>
      </c>
      <c r="K52" s="17"/>
      <c r="L52" s="18"/>
      <c r="M52" s="17">
        <f>30 + 0.7 * 0</f>
        <v>30</v>
      </c>
      <c r="N52" s="17"/>
      <c r="O52" s="7" t="s">
        <v>38</v>
      </c>
      <c r="P52" s="51" t="s">
        <v>30</v>
      </c>
      <c r="Q52" s="52"/>
      <c r="R52" s="53"/>
      <c r="S52" s="19">
        <f>IF(J52="미제출",0,IF(K52="O",J52*0.66,J52))+IF(M52="미제출",0,IF(N52="O",M52*0.66,M52))</f>
        <v>60</v>
      </c>
      <c r="T52" s="19"/>
      <c r="U52" s="19"/>
      <c r="V52" s="20"/>
      <c r="W52" s="20"/>
      <c r="X52" s="21"/>
      <c r="Y52" s="7"/>
      <c r="Z52" s="7"/>
      <c r="AF52" s="36"/>
    </row>
    <row r="53" spans="1:32" ht="18" customHeight="1">
      <c r="A53" s="16">
        <v>34</v>
      </c>
      <c r="B53" s="1" t="s">
        <v>31</v>
      </c>
      <c r="C53" s="1"/>
      <c r="D53" s="1" t="s">
        <v>40</v>
      </c>
      <c r="E53" s="1" t="s">
        <v>41</v>
      </c>
      <c r="F53" s="1" t="s">
        <v>150</v>
      </c>
      <c r="G53" s="1" t="s">
        <v>151</v>
      </c>
      <c r="H53" s="1">
        <v>10</v>
      </c>
      <c r="I53" s="31"/>
      <c r="J53" s="17">
        <f>30 + 0.7 * 100</f>
        <v>100</v>
      </c>
      <c r="K53" s="17"/>
      <c r="L53" s="18"/>
      <c r="M53" s="17">
        <f>30 + 0.7 * 100</f>
        <v>100</v>
      </c>
      <c r="N53" s="17"/>
      <c r="O53" s="18"/>
      <c r="P53" s="17">
        <v>100</v>
      </c>
      <c r="Q53" s="17"/>
      <c r="R53" s="27"/>
      <c r="S53" s="19">
        <f>IF(J53="미제출",0,IF(K53="O",J53*0.66,J53))+IF(M53="미제출",0,IF(N53="O",M53*0.66,M53))</f>
        <v>200</v>
      </c>
      <c r="T53" s="20"/>
      <c r="U53" s="20"/>
      <c r="V53" s="20"/>
      <c r="W53" s="20"/>
      <c r="X53" s="21"/>
      <c r="Y53" s="28"/>
      <c r="Z53" s="23"/>
      <c r="AF53" s="36"/>
    </row>
    <row r="54" spans="1:32" ht="18" customHeight="1">
      <c r="A54" s="16">
        <v>42</v>
      </c>
      <c r="B54" s="1" t="s">
        <v>23</v>
      </c>
      <c r="C54" s="1"/>
      <c r="D54" s="1" t="s">
        <v>25</v>
      </c>
      <c r="E54" s="1" t="s">
        <v>46</v>
      </c>
      <c r="F54" s="1" t="s">
        <v>152</v>
      </c>
      <c r="G54" s="1" t="s">
        <v>153</v>
      </c>
      <c r="H54" s="1">
        <v>10</v>
      </c>
      <c r="I54" s="30"/>
      <c r="J54" s="17">
        <f>30 + 0.7 * 100</f>
        <v>100</v>
      </c>
      <c r="K54" s="17"/>
      <c r="L54" s="7"/>
      <c r="M54" s="17">
        <f>30 + 0.7 * 100</f>
        <v>100</v>
      </c>
      <c r="N54" s="17"/>
      <c r="O54" s="7"/>
      <c r="P54" s="34"/>
      <c r="Q54" s="34"/>
      <c r="R54" s="50"/>
      <c r="S54" s="19">
        <f>IF(J54="미제출",0,IF(K54="O",J54*0.66,J54))+IF(M54="미제출",0,IF(N54="O",M54*0.66,M54))</f>
        <v>200</v>
      </c>
      <c r="T54" s="19"/>
      <c r="U54" s="19"/>
      <c r="V54" s="20"/>
      <c r="W54" s="20"/>
      <c r="X54" s="21"/>
      <c r="Y54" s="7"/>
      <c r="Z54" s="7"/>
      <c r="AF54" s="36"/>
    </row>
    <row r="55" spans="1:32" ht="18" customHeight="1">
      <c r="A55" s="16">
        <v>46</v>
      </c>
      <c r="B55" s="1" t="s">
        <v>23</v>
      </c>
      <c r="C55" s="2" t="s">
        <v>136</v>
      </c>
      <c r="D55" s="1" t="s">
        <v>25</v>
      </c>
      <c r="E55" s="1" t="s">
        <v>41</v>
      </c>
      <c r="F55" s="1" t="s">
        <v>154</v>
      </c>
      <c r="G55" s="1" t="s">
        <v>155</v>
      </c>
      <c r="H55" s="3">
        <v>0</v>
      </c>
      <c r="I55" s="30"/>
      <c r="J55" s="17">
        <f>30 + 0.7 * (32 - 20)</f>
        <v>38.4</v>
      </c>
      <c r="K55" s="17" t="s">
        <v>85</v>
      </c>
      <c r="L55" s="18" t="s">
        <v>29</v>
      </c>
      <c r="M55" s="37" t="s">
        <v>30</v>
      </c>
      <c r="N55" s="37"/>
      <c r="O55" s="39"/>
      <c r="P55" s="51" t="s">
        <v>30</v>
      </c>
      <c r="Q55" s="52"/>
      <c r="R55" s="53"/>
      <c r="S55" s="19">
        <f>IF(J55="미제출",0,IF(K55="O",J55*0.66,J55))+IF(M55="미제출",0,IF(N55="O",M55*0.66,M55))</f>
        <v>25.344000000000001</v>
      </c>
      <c r="T55" s="19"/>
      <c r="U55" s="19"/>
      <c r="V55" s="20"/>
      <c r="W55" s="20"/>
      <c r="X55" s="21"/>
      <c r="Y55" s="7"/>
      <c r="Z55" s="7"/>
      <c r="AF55" s="36"/>
    </row>
    <row r="56" spans="1:32" ht="18" customHeight="1">
      <c r="A56" s="16">
        <v>55</v>
      </c>
      <c r="B56" s="1" t="s">
        <v>23</v>
      </c>
      <c r="C56" s="1"/>
      <c r="D56" s="1" t="s">
        <v>40</v>
      </c>
      <c r="E56" s="1" t="s">
        <v>41</v>
      </c>
      <c r="F56" s="1" t="s">
        <v>156</v>
      </c>
      <c r="G56" s="1" t="s">
        <v>157</v>
      </c>
      <c r="H56" s="1">
        <v>10</v>
      </c>
      <c r="I56" s="31"/>
      <c r="J56" s="17">
        <f>30 + 0.7 * 100</f>
        <v>100</v>
      </c>
      <c r="K56" s="17"/>
      <c r="L56" s="18"/>
      <c r="M56" s="17">
        <f>30 + 0.7 * (0 + 20)</f>
        <v>44</v>
      </c>
      <c r="N56" s="17"/>
      <c r="O56" s="18" t="s">
        <v>35</v>
      </c>
      <c r="P56" s="17">
        <v>100</v>
      </c>
      <c r="Q56" s="17"/>
      <c r="R56" s="18"/>
      <c r="S56" s="19">
        <f>IF(J56="미제출",0,IF(K56="O",J56*0.66,J56))+IF(M56="미제출",0,IF(N56="O",M56*0.66,M56))</f>
        <v>144</v>
      </c>
      <c r="T56" s="20"/>
      <c r="U56" s="20"/>
      <c r="V56" s="20"/>
      <c r="W56" s="20"/>
      <c r="X56" s="21"/>
      <c r="Y56" s="19"/>
      <c r="Z56" s="23"/>
      <c r="AF56" s="36"/>
    </row>
    <row r="57" spans="1:32" ht="18" customHeight="1">
      <c r="A57" s="16">
        <v>60</v>
      </c>
      <c r="B57" s="1" t="s">
        <v>31</v>
      </c>
      <c r="C57" s="1"/>
      <c r="D57" s="1" t="s">
        <v>25</v>
      </c>
      <c r="E57" s="1" t="s">
        <v>26</v>
      </c>
      <c r="F57" s="1" t="s">
        <v>158</v>
      </c>
      <c r="G57" s="1" t="s">
        <v>159</v>
      </c>
      <c r="H57" s="1">
        <v>10</v>
      </c>
      <c r="I57" s="31"/>
      <c r="J57" s="34" t="s">
        <v>30</v>
      </c>
      <c r="K57" s="34"/>
      <c r="L57" s="35"/>
      <c r="M57" s="37" t="s">
        <v>30</v>
      </c>
      <c r="N57" s="37"/>
      <c r="O57" s="38"/>
      <c r="P57" s="51" t="s">
        <v>30</v>
      </c>
      <c r="Q57" s="52"/>
      <c r="R57" s="53"/>
      <c r="S57" s="19">
        <f>IF(J57="미제출",0,IF(K57="O",J57*0.66,J57))+IF(M57="미제출",0,IF(N57="O",M57*0.66,M57))</f>
        <v>0</v>
      </c>
      <c r="T57" s="20"/>
      <c r="U57" s="20"/>
      <c r="V57" s="20"/>
      <c r="W57" s="20"/>
      <c r="X57" s="21"/>
      <c r="Y57" s="19"/>
      <c r="Z57" s="7"/>
      <c r="AF57" s="36"/>
    </row>
    <row r="58" spans="1:32" ht="18" customHeight="1">
      <c r="A58" s="16">
        <v>64</v>
      </c>
      <c r="B58" s="1" t="s">
        <v>23</v>
      </c>
      <c r="C58" s="1"/>
      <c r="D58" s="1" t="s">
        <v>40</v>
      </c>
      <c r="E58" s="1" t="s">
        <v>41</v>
      </c>
      <c r="F58" s="1" t="s">
        <v>160</v>
      </c>
      <c r="G58" s="1" t="s">
        <v>161</v>
      </c>
      <c r="H58" s="1">
        <v>10</v>
      </c>
      <c r="I58" s="31"/>
      <c r="J58" s="17">
        <f>30 + 0.7 * 100</f>
        <v>100</v>
      </c>
      <c r="K58" s="17"/>
      <c r="L58" s="18"/>
      <c r="M58" s="17">
        <f>30 + 0.7 * 100</f>
        <v>100</v>
      </c>
      <c r="N58" s="17"/>
      <c r="O58" s="18"/>
      <c r="P58" s="17">
        <v>100</v>
      </c>
      <c r="Q58" s="17"/>
      <c r="R58" s="18"/>
      <c r="S58" s="19">
        <f>IF(J58="미제출",0,IF(K58="O",J58*0.66,J58))+IF(M58="미제출",0,IF(N58="O",M58*0.66,M58))</f>
        <v>200</v>
      </c>
      <c r="T58" s="20"/>
      <c r="U58" s="20"/>
      <c r="V58" s="20"/>
      <c r="W58" s="20"/>
      <c r="X58" s="21"/>
      <c r="Y58" s="19"/>
      <c r="Z58" s="23"/>
      <c r="AF58" s="36"/>
    </row>
    <row r="59" spans="1:32" ht="18" customHeight="1">
      <c r="A59" s="16">
        <v>67</v>
      </c>
      <c r="B59" s="1" t="s">
        <v>31</v>
      </c>
      <c r="C59" s="1"/>
      <c r="D59" s="1" t="s">
        <v>40</v>
      </c>
      <c r="E59" s="1" t="s">
        <v>41</v>
      </c>
      <c r="F59" s="1" t="s">
        <v>162</v>
      </c>
      <c r="G59" s="1" t="s">
        <v>163</v>
      </c>
      <c r="H59" s="1">
        <v>10</v>
      </c>
      <c r="I59" s="31"/>
      <c r="J59" s="17">
        <f>30 + 0.7 * (94 - 20)</f>
        <v>81.8</v>
      </c>
      <c r="K59" s="17"/>
      <c r="L59" s="18" t="s">
        <v>29</v>
      </c>
      <c r="M59" s="17">
        <f>30 + 0.7 * 100</f>
        <v>100</v>
      </c>
      <c r="N59" s="17"/>
      <c r="O59" s="18"/>
      <c r="P59" s="51" t="s">
        <v>30</v>
      </c>
      <c r="Q59" s="52"/>
      <c r="R59" s="53"/>
      <c r="S59" s="19">
        <f>IF(J59="미제출",0,IF(K59="O",J59*0.66,J59))+IF(M59="미제출",0,IF(N59="O",M59*0.66,M59))</f>
        <v>181.8</v>
      </c>
      <c r="T59" s="20"/>
      <c r="U59" s="20"/>
      <c r="V59" s="20"/>
      <c r="W59" s="20"/>
      <c r="X59" s="21"/>
      <c r="Y59" s="19"/>
      <c r="Z59" s="7"/>
      <c r="AF59" s="36"/>
    </row>
    <row r="60" spans="1:32" ht="18" customHeight="1">
      <c r="A60" s="16">
        <v>70</v>
      </c>
      <c r="B60" s="1" t="s">
        <v>31</v>
      </c>
      <c r="C60" s="1"/>
      <c r="D60" s="1" t="s">
        <v>40</v>
      </c>
      <c r="E60" s="1" t="s">
        <v>41</v>
      </c>
      <c r="F60" s="1" t="s">
        <v>164</v>
      </c>
      <c r="G60" s="1" t="s">
        <v>165</v>
      </c>
      <c r="H60" s="1">
        <v>10</v>
      </c>
      <c r="I60" s="31"/>
      <c r="J60" s="17">
        <f>30 + 0.7 * 94</f>
        <v>95.8</v>
      </c>
      <c r="K60" s="17"/>
      <c r="L60" s="18"/>
      <c r="M60" s="17">
        <f>30 + 0.7 * 92</f>
        <v>94.399999999999991</v>
      </c>
      <c r="N60" s="17"/>
      <c r="O60" s="18"/>
      <c r="P60" s="34"/>
      <c r="Q60" s="34"/>
      <c r="R60" s="35"/>
      <c r="S60" s="19">
        <f>IF(J60="미제출",0,IF(K60="O",J60*0.66,J60))+IF(M60="미제출",0,IF(N60="O",M60*0.66,M60))</f>
        <v>190.2</v>
      </c>
      <c r="T60" s="20"/>
      <c r="U60" s="20"/>
      <c r="V60" s="20"/>
      <c r="W60" s="20"/>
      <c r="X60" s="21"/>
      <c r="Y60" s="19"/>
      <c r="Z60" s="23"/>
      <c r="AF60" s="36"/>
    </row>
    <row r="61" spans="1:32" ht="18" customHeight="1">
      <c r="A61" s="16">
        <v>75</v>
      </c>
      <c r="B61" s="1" t="s">
        <v>23</v>
      </c>
      <c r="C61" s="1"/>
      <c r="D61" s="1" t="s">
        <v>40</v>
      </c>
      <c r="E61" s="1" t="s">
        <v>41</v>
      </c>
      <c r="F61" s="1" t="s">
        <v>166</v>
      </c>
      <c r="G61" s="1" t="s">
        <v>167</v>
      </c>
      <c r="H61" s="1">
        <v>10</v>
      </c>
      <c r="I61" s="31"/>
      <c r="J61" s="17">
        <f>30 + 0.7 * 100</f>
        <v>100</v>
      </c>
      <c r="K61" s="17"/>
      <c r="L61" s="18"/>
      <c r="M61" s="17">
        <f>30 + 0.7 * 80</f>
        <v>86</v>
      </c>
      <c r="N61" s="17"/>
      <c r="O61" s="18"/>
      <c r="P61" s="54" t="s">
        <v>30</v>
      </c>
      <c r="Q61" s="55"/>
      <c r="R61" s="56"/>
      <c r="S61" s="19">
        <f>IF(J61="미제출",0,IF(K61="O",J61*0.66,J61))+IF(M61="미제출",0,IF(N61="O",M61*0.66,M61))</f>
        <v>186</v>
      </c>
      <c r="T61" s="20"/>
      <c r="U61" s="20"/>
      <c r="V61" s="20"/>
      <c r="W61" s="20"/>
      <c r="X61" s="21"/>
      <c r="Y61" s="19"/>
      <c r="Z61" s="7"/>
      <c r="AF61" s="36"/>
    </row>
    <row r="62" spans="1:32" ht="18" customHeight="1">
      <c r="A62" s="16">
        <v>76</v>
      </c>
      <c r="B62" s="1" t="s">
        <v>23</v>
      </c>
      <c r="C62" s="1"/>
      <c r="D62" s="1" t="s">
        <v>40</v>
      </c>
      <c r="E62" s="1" t="s">
        <v>41</v>
      </c>
      <c r="F62" s="1" t="s">
        <v>168</v>
      </c>
      <c r="G62" s="1" t="s">
        <v>169</v>
      </c>
      <c r="H62" s="1">
        <v>10</v>
      </c>
      <c r="I62" s="31"/>
      <c r="J62" s="17">
        <f>30 + 0.7 * 100</f>
        <v>100</v>
      </c>
      <c r="K62" s="17"/>
      <c r="L62" s="18"/>
      <c r="M62" s="17">
        <f>30 + 0.7 * 98</f>
        <v>98.6</v>
      </c>
      <c r="N62" s="17"/>
      <c r="O62" s="18"/>
      <c r="P62" s="34"/>
      <c r="Q62" s="34"/>
      <c r="R62" s="35"/>
      <c r="S62" s="19">
        <f>IF(J62="미제출",0,IF(K62="O",J62*0.66,J62))+IF(M62="미제출",0,IF(N62="O",M62*0.66,M62))</f>
        <v>198.6</v>
      </c>
      <c r="T62" s="20"/>
      <c r="U62" s="20"/>
      <c r="V62" s="20"/>
      <c r="W62" s="20"/>
      <c r="X62" s="21"/>
      <c r="Y62" s="19"/>
      <c r="Z62" s="23"/>
      <c r="AF62" s="36"/>
    </row>
    <row r="63" spans="1:32" ht="18" customHeight="1">
      <c r="A63" s="16">
        <v>78</v>
      </c>
      <c r="B63" s="1" t="s">
        <v>23</v>
      </c>
      <c r="C63" s="1"/>
      <c r="D63" s="1" t="s">
        <v>40</v>
      </c>
      <c r="E63" s="1" t="s">
        <v>41</v>
      </c>
      <c r="F63" s="1" t="s">
        <v>170</v>
      </c>
      <c r="G63" s="1" t="s">
        <v>171</v>
      </c>
      <c r="H63" s="1">
        <v>10</v>
      </c>
      <c r="I63" s="31"/>
      <c r="J63" s="17">
        <f>30 + 0.7 * 100</f>
        <v>100</v>
      </c>
      <c r="K63" s="17"/>
      <c r="L63" s="7" t="s">
        <v>172</v>
      </c>
      <c r="M63" s="17">
        <f>30 + 0.7 * 92</f>
        <v>94.399999999999991</v>
      </c>
      <c r="N63" s="17"/>
      <c r="O63" s="18"/>
      <c r="P63" s="51" t="s">
        <v>30</v>
      </c>
      <c r="Q63" s="52"/>
      <c r="R63" s="53"/>
      <c r="S63" s="19">
        <f>IF(J63="미제출",0,IF(K63="O",J63*0.66,J63))+IF(M63="미제출",0,IF(N63="O",M63*0.66,M63))</f>
        <v>194.39999999999998</v>
      </c>
      <c r="T63" s="20"/>
      <c r="U63" s="20"/>
      <c r="V63" s="20"/>
      <c r="W63" s="20"/>
      <c r="X63" s="21"/>
      <c r="Y63" s="19"/>
      <c r="Z63" s="7"/>
      <c r="AF63" s="36"/>
    </row>
    <row r="64" spans="1:32" ht="18" customHeight="1">
      <c r="A64" s="16">
        <v>79</v>
      </c>
      <c r="B64" s="1" t="s">
        <v>31</v>
      </c>
      <c r="C64" s="1"/>
      <c r="D64" s="1" t="s">
        <v>40</v>
      </c>
      <c r="E64" s="1" t="s">
        <v>41</v>
      </c>
      <c r="F64" s="1" t="s">
        <v>173</v>
      </c>
      <c r="G64" s="1" t="s">
        <v>174</v>
      </c>
      <c r="H64" s="1">
        <v>10</v>
      </c>
      <c r="I64" s="31"/>
      <c r="J64" s="17">
        <f>30 + 0.7 * 100</f>
        <v>100</v>
      </c>
      <c r="K64" s="17"/>
      <c r="L64" s="18"/>
      <c r="M64" s="17">
        <f>30 + 0.7 * 100</f>
        <v>100</v>
      </c>
      <c r="N64" s="17"/>
      <c r="O64" s="18"/>
      <c r="P64" s="51" t="s">
        <v>30</v>
      </c>
      <c r="Q64" s="52"/>
      <c r="R64" s="53"/>
      <c r="S64" s="19">
        <f>IF(J64="미제출",0,IF(K64="O",J64*0.66,J64))+IF(M64="미제출",0,IF(N64="O",M64*0.66,M64))</f>
        <v>200</v>
      </c>
      <c r="T64" s="20"/>
      <c r="U64" s="20"/>
      <c r="V64" s="20"/>
      <c r="W64" s="20"/>
      <c r="X64" s="21"/>
      <c r="Y64" s="19"/>
      <c r="Z64" s="7"/>
      <c r="AF64" s="36"/>
    </row>
    <row r="65" spans="1:32" ht="18" customHeight="1">
      <c r="A65" s="16">
        <v>81</v>
      </c>
      <c r="B65" s="1" t="s">
        <v>23</v>
      </c>
      <c r="C65" s="1"/>
      <c r="D65" s="1" t="s">
        <v>40</v>
      </c>
      <c r="E65" s="1" t="s">
        <v>41</v>
      </c>
      <c r="F65" s="1" t="s">
        <v>175</v>
      </c>
      <c r="G65" s="1" t="s">
        <v>176</v>
      </c>
      <c r="H65" s="1">
        <v>10</v>
      </c>
      <c r="I65" s="30"/>
      <c r="J65" s="17">
        <f>30 + 0.7 * 98</f>
        <v>98.6</v>
      </c>
      <c r="K65" s="17"/>
      <c r="L65" s="18"/>
      <c r="M65" s="17">
        <f>30 + 0.7 * 100</f>
        <v>100</v>
      </c>
      <c r="N65" s="17"/>
      <c r="O65" s="18"/>
      <c r="P65" s="17">
        <v>100</v>
      </c>
      <c r="Q65" s="17"/>
      <c r="R65" s="18"/>
      <c r="S65" s="19">
        <f>IF(J65="미제출",0,IF(K65="O",J65*0.66,J65))+IF(M65="미제출",0,IF(N65="O",M65*0.66,M65))</f>
        <v>198.6</v>
      </c>
      <c r="T65" s="20"/>
      <c r="U65" s="20"/>
      <c r="V65" s="20"/>
      <c r="W65" s="20"/>
      <c r="X65" s="21"/>
      <c r="Y65" s="19"/>
      <c r="Z65" s="23"/>
      <c r="AF65" s="36"/>
    </row>
    <row r="66" spans="1:32" ht="18" customHeight="1">
      <c r="A66" s="16">
        <v>84</v>
      </c>
      <c r="B66" s="1" t="s">
        <v>23</v>
      </c>
      <c r="C66" s="1"/>
      <c r="D66" s="1" t="s">
        <v>40</v>
      </c>
      <c r="E66" s="1" t="s">
        <v>41</v>
      </c>
      <c r="F66" s="1" t="s">
        <v>177</v>
      </c>
      <c r="G66" s="1" t="s">
        <v>178</v>
      </c>
      <c r="H66" s="1">
        <v>10</v>
      </c>
      <c r="I66" s="31"/>
      <c r="J66" s="17">
        <f>30 + 0.7 * 100</f>
        <v>100</v>
      </c>
      <c r="K66" s="17"/>
      <c r="L66" s="18"/>
      <c r="M66" s="17">
        <f>30 + 0.7 * 100</f>
        <v>100</v>
      </c>
      <c r="N66" s="17"/>
      <c r="O66" s="18"/>
      <c r="P66" s="51" t="s">
        <v>30</v>
      </c>
      <c r="Q66" s="52"/>
      <c r="R66" s="53"/>
      <c r="S66" s="19">
        <f>IF(J66="미제출",0,IF(K66="O",J66*0.66,J66))+IF(M66="미제출",0,IF(N66="O",M66*0.66,M66))</f>
        <v>200</v>
      </c>
      <c r="T66" s="20"/>
      <c r="U66" s="20"/>
      <c r="V66" s="20"/>
      <c r="W66" s="20"/>
      <c r="X66" s="21"/>
      <c r="Y66" s="19"/>
      <c r="Z66" s="7"/>
      <c r="AF66" s="36"/>
    </row>
    <row r="67" spans="1:32" ht="18" customHeight="1">
      <c r="A67" s="16">
        <v>85</v>
      </c>
      <c r="B67" s="1" t="s">
        <v>23</v>
      </c>
      <c r="C67" s="1"/>
      <c r="D67" s="1" t="s">
        <v>40</v>
      </c>
      <c r="E67" s="1" t="s">
        <v>41</v>
      </c>
      <c r="F67" s="1" t="s">
        <v>179</v>
      </c>
      <c r="G67" s="1" t="s">
        <v>180</v>
      </c>
      <c r="H67" s="1">
        <v>10</v>
      </c>
      <c r="I67" s="31"/>
      <c r="J67" s="17">
        <f>30 + 0.7 * (44 - 20)</f>
        <v>46.8</v>
      </c>
      <c r="K67" s="17"/>
      <c r="L67" s="18" t="s">
        <v>29</v>
      </c>
      <c r="M67" s="17">
        <f>30 + 0.7 * 0</f>
        <v>30</v>
      </c>
      <c r="N67" s="17"/>
      <c r="O67" s="18" t="s">
        <v>45</v>
      </c>
      <c r="P67" s="51" t="s">
        <v>30</v>
      </c>
      <c r="Q67" s="52"/>
      <c r="R67" s="53"/>
      <c r="S67" s="19">
        <f>IF(J67="미제출",0,IF(K67="O",J67*0.66,J67))+IF(M67="미제출",0,IF(N67="O",M67*0.66,M67))</f>
        <v>76.8</v>
      </c>
      <c r="T67" s="20"/>
      <c r="U67" s="20"/>
      <c r="V67" s="20"/>
      <c r="W67" s="20"/>
      <c r="X67" s="21"/>
      <c r="Y67" s="19"/>
      <c r="Z67" s="23"/>
      <c r="AF67" s="36"/>
    </row>
    <row r="68" spans="1:32" ht="18" customHeight="1">
      <c r="A68" s="16">
        <v>92</v>
      </c>
      <c r="B68" s="1" t="s">
        <v>23</v>
      </c>
      <c r="C68" s="1"/>
      <c r="D68" s="1" t="s">
        <v>40</v>
      </c>
      <c r="E68" s="1" t="s">
        <v>41</v>
      </c>
      <c r="F68" s="1" t="s">
        <v>181</v>
      </c>
      <c r="G68" s="1" t="s">
        <v>182</v>
      </c>
      <c r="H68" s="1">
        <v>10</v>
      </c>
      <c r="I68" s="31"/>
      <c r="J68" s="17">
        <f>30 + 0.7 * 100</f>
        <v>100</v>
      </c>
      <c r="K68" s="17"/>
      <c r="L68" s="7"/>
      <c r="M68" s="17">
        <f>30 + 0.7 * 100</f>
        <v>100</v>
      </c>
      <c r="N68" s="17"/>
      <c r="O68" s="7"/>
      <c r="P68" s="17">
        <v>100</v>
      </c>
      <c r="Q68" s="17"/>
      <c r="R68" s="7"/>
      <c r="S68" s="19">
        <f>IF(J68="미제출",0,IF(K68="O",J68*0.66,J68))+IF(M68="미제출",0,IF(N68="O",M68*0.66,M68))</f>
        <v>200</v>
      </c>
      <c r="T68" s="5"/>
      <c r="U68" s="5"/>
      <c r="V68" s="20"/>
      <c r="W68" s="20"/>
      <c r="X68" s="21"/>
      <c r="Y68" s="7"/>
      <c r="Z68" s="7"/>
      <c r="AF68" s="36"/>
    </row>
    <row r="69" spans="1:32" ht="18" customHeight="1">
      <c r="A69" s="16">
        <v>104</v>
      </c>
      <c r="B69" s="1" t="s">
        <v>31</v>
      </c>
      <c r="C69" s="1"/>
      <c r="D69" s="1" t="s">
        <v>40</v>
      </c>
      <c r="E69" s="1" t="s">
        <v>41</v>
      </c>
      <c r="F69" s="1" t="s">
        <v>183</v>
      </c>
      <c r="G69" s="1" t="s">
        <v>184</v>
      </c>
      <c r="H69" s="1">
        <v>10</v>
      </c>
      <c r="I69" s="31"/>
      <c r="J69" s="17">
        <f>30 + 0.7 * 100</f>
        <v>100</v>
      </c>
      <c r="K69" s="17"/>
      <c r="L69" s="7"/>
      <c r="M69" s="17">
        <f>30 + 0.7 * 92</f>
        <v>94.399999999999991</v>
      </c>
      <c r="N69" s="17"/>
      <c r="O69" s="7"/>
      <c r="P69" s="51" t="s">
        <v>30</v>
      </c>
      <c r="Q69" s="52"/>
      <c r="R69" s="53"/>
      <c r="S69" s="19">
        <f>IF(J69="미제출",0,IF(K69="O",J69*0.66,J69))+IF(M69="미제출",0,IF(N69="O",M69*0.66,M69))</f>
        <v>194.39999999999998</v>
      </c>
      <c r="T69" s="20"/>
      <c r="U69" s="20"/>
      <c r="V69" s="20"/>
      <c r="W69" s="20"/>
      <c r="X69" s="21"/>
      <c r="Y69" s="7"/>
      <c r="Z69" s="23"/>
      <c r="AF69" s="36"/>
    </row>
    <row r="70" spans="1:32" ht="18" customHeight="1">
      <c r="A70" s="16">
        <v>109</v>
      </c>
      <c r="B70" s="1" t="s">
        <v>23</v>
      </c>
      <c r="C70" s="1"/>
      <c r="D70" s="1" t="s">
        <v>40</v>
      </c>
      <c r="E70" s="1" t="s">
        <v>41</v>
      </c>
      <c r="F70" s="1" t="s">
        <v>185</v>
      </c>
      <c r="G70" s="1" t="s">
        <v>186</v>
      </c>
      <c r="H70" s="1">
        <v>10</v>
      </c>
      <c r="I70" s="31"/>
      <c r="J70" s="17">
        <f>30 + 0.7 * 96</f>
        <v>97.199999999999989</v>
      </c>
      <c r="K70" s="17"/>
      <c r="L70" s="18"/>
      <c r="M70" s="17">
        <f>30 + 0.7 * 100</f>
        <v>100</v>
      </c>
      <c r="N70" s="17"/>
      <c r="O70" s="18"/>
      <c r="P70" s="34">
        <v>66</v>
      </c>
      <c r="Q70" s="34"/>
      <c r="R70" s="35" t="s">
        <v>293</v>
      </c>
      <c r="S70" s="19">
        <f>IF(J70="미제출",0,IF(K70="O",J70*0.66,J70))+IF(M70="미제출",0,IF(N70="O",M70*0.66,M70))</f>
        <v>197.2</v>
      </c>
      <c r="T70" s="20"/>
      <c r="U70" s="20"/>
      <c r="V70" s="20"/>
      <c r="W70" s="20"/>
      <c r="X70" s="21"/>
      <c r="Y70" s="19"/>
      <c r="Z70" s="23"/>
      <c r="AF70" s="36"/>
    </row>
    <row r="71" spans="1:32" ht="18" customHeight="1">
      <c r="A71" s="16">
        <v>2</v>
      </c>
      <c r="B71" s="1" t="s">
        <v>23</v>
      </c>
      <c r="C71" s="1"/>
      <c r="D71" s="1" t="s">
        <v>25</v>
      </c>
      <c r="E71" s="1" t="s">
        <v>26</v>
      </c>
      <c r="F71" s="1" t="s">
        <v>187</v>
      </c>
      <c r="G71" s="1" t="s">
        <v>188</v>
      </c>
      <c r="H71" s="1">
        <v>10</v>
      </c>
      <c r="I71" s="30"/>
      <c r="J71" s="17">
        <f>30 + 0.7 * (50 - 20)</f>
        <v>51</v>
      </c>
      <c r="K71" s="17"/>
      <c r="L71" s="18" t="s">
        <v>29</v>
      </c>
      <c r="M71" s="17">
        <f>30 + 0.7 * 0</f>
        <v>30</v>
      </c>
      <c r="N71" s="17"/>
      <c r="O71" s="18" t="s">
        <v>189</v>
      </c>
      <c r="P71" s="51" t="s">
        <v>30</v>
      </c>
      <c r="Q71" s="52"/>
      <c r="R71" s="53"/>
      <c r="S71" s="19">
        <f>IF(J71="미제출",0,IF(K71="O",J71*0.66,J71))+IF(M71="미제출",0,IF(N71="O",M71*0.66,M71))</f>
        <v>81</v>
      </c>
      <c r="T71" s="20"/>
      <c r="U71" s="20"/>
      <c r="V71" s="20"/>
      <c r="W71" s="20"/>
      <c r="X71" s="21"/>
      <c r="Y71" s="19"/>
      <c r="Z71" s="23"/>
      <c r="AF71" s="36"/>
    </row>
    <row r="72" spans="1:32" ht="18" customHeight="1">
      <c r="A72" s="16">
        <v>93</v>
      </c>
      <c r="B72" s="1" t="s">
        <v>23</v>
      </c>
      <c r="C72" s="1"/>
      <c r="D72" s="1" t="s">
        <v>25</v>
      </c>
      <c r="E72" s="1" t="s">
        <v>26</v>
      </c>
      <c r="F72" s="1" t="s">
        <v>190</v>
      </c>
      <c r="G72" s="1" t="s">
        <v>191</v>
      </c>
      <c r="H72" s="1">
        <v>10</v>
      </c>
      <c r="I72" s="30"/>
      <c r="J72" s="17">
        <f>30 + 0.7 * 100</f>
        <v>100</v>
      </c>
      <c r="K72" s="17"/>
      <c r="L72" s="18"/>
      <c r="M72" s="17">
        <f>30 + 0.7 * 100</f>
        <v>100</v>
      </c>
      <c r="N72" s="17"/>
      <c r="O72" s="18"/>
      <c r="P72" s="17">
        <v>100</v>
      </c>
      <c r="Q72" s="17"/>
      <c r="R72" s="18"/>
      <c r="S72" s="19">
        <f>IF(J72="미제출",0,IF(K72="O",J72*0.66,J72))+IF(M72="미제출",0,IF(N72="O",M72*0.66,M72))</f>
        <v>200</v>
      </c>
      <c r="T72" s="20"/>
      <c r="U72" s="20"/>
      <c r="V72" s="20"/>
      <c r="W72" s="20"/>
      <c r="X72" s="21"/>
      <c r="Y72" s="19"/>
      <c r="Z72" s="23"/>
      <c r="AF72" s="36"/>
    </row>
    <row r="73" spans="1:32" ht="18" customHeight="1">
      <c r="A73" s="16">
        <v>69</v>
      </c>
      <c r="B73" s="1" t="s">
        <v>31</v>
      </c>
      <c r="C73" s="1"/>
      <c r="D73" s="1" t="s">
        <v>25</v>
      </c>
      <c r="E73" s="1" t="s">
        <v>46</v>
      </c>
      <c r="F73" s="1" t="s">
        <v>192</v>
      </c>
      <c r="G73" s="1" t="s">
        <v>193</v>
      </c>
      <c r="H73" s="1">
        <v>10</v>
      </c>
      <c r="I73" s="31"/>
      <c r="J73" s="17">
        <f>30 + 0.7 * 36</f>
        <v>55.2</v>
      </c>
      <c r="K73" s="17"/>
      <c r="L73" s="18"/>
      <c r="M73" s="37" t="s">
        <v>30</v>
      </c>
      <c r="N73" s="37"/>
      <c r="O73" s="38"/>
      <c r="P73" s="34"/>
      <c r="Q73" s="34"/>
      <c r="R73" s="35"/>
      <c r="S73" s="19">
        <f>IF(J73="미제출",0,IF(K73="O",J73*0.66,J73))+IF(M73="미제출",0,IF(N73="O",M73*0.66,M73))</f>
        <v>55.2</v>
      </c>
      <c r="T73" s="20"/>
      <c r="U73" s="20"/>
      <c r="V73" s="20"/>
      <c r="W73" s="20"/>
      <c r="X73" s="21"/>
      <c r="Y73" s="19"/>
      <c r="Z73" s="7"/>
      <c r="AF73" s="36"/>
    </row>
    <row r="74" spans="1:32" ht="18" customHeight="1">
      <c r="A74" s="16">
        <v>86</v>
      </c>
      <c r="B74" s="1" t="s">
        <v>23</v>
      </c>
      <c r="C74" s="1"/>
      <c r="D74" s="1" t="s">
        <v>25</v>
      </c>
      <c r="E74" s="1" t="s">
        <v>46</v>
      </c>
      <c r="F74" s="1" t="s">
        <v>194</v>
      </c>
      <c r="G74" s="1" t="s">
        <v>195</v>
      </c>
      <c r="H74" s="1">
        <v>10</v>
      </c>
      <c r="I74" s="31"/>
      <c r="J74" s="17">
        <f>30 + 0.7 * 20</f>
        <v>44</v>
      </c>
      <c r="K74" s="17"/>
      <c r="L74" s="18" t="s">
        <v>196</v>
      </c>
      <c r="M74" s="17">
        <f>30 + 0.7 * (0 + 20)</f>
        <v>44</v>
      </c>
      <c r="N74" s="17"/>
      <c r="O74" s="18" t="s">
        <v>35</v>
      </c>
      <c r="P74" s="34"/>
      <c r="Q74" s="34"/>
      <c r="R74" s="35"/>
      <c r="S74" s="19">
        <f>IF(J74="미제출",0,IF(K74="O",J74*0.66,J74))+IF(M74="미제출",0,IF(N74="O",M74*0.66,M74))</f>
        <v>88</v>
      </c>
      <c r="T74" s="20"/>
      <c r="U74" s="20"/>
      <c r="V74" s="20"/>
      <c r="W74" s="20"/>
      <c r="X74" s="21"/>
      <c r="Y74" s="19"/>
      <c r="Z74" s="23"/>
      <c r="AF74" s="36"/>
    </row>
    <row r="75" spans="1:32" ht="18" customHeight="1">
      <c r="A75" s="16">
        <v>7</v>
      </c>
      <c r="B75" s="1" t="s">
        <v>23</v>
      </c>
      <c r="C75" s="1"/>
      <c r="D75" s="1" t="s">
        <v>25</v>
      </c>
      <c r="E75" s="1" t="s">
        <v>46</v>
      </c>
      <c r="F75" s="1" t="s">
        <v>197</v>
      </c>
      <c r="G75" s="5" t="s">
        <v>198</v>
      </c>
      <c r="H75" s="3">
        <v>0</v>
      </c>
      <c r="I75" s="30"/>
      <c r="J75" s="17">
        <f>30 + 0.7 * 90</f>
        <v>93</v>
      </c>
      <c r="K75" s="17"/>
      <c r="L75" s="33"/>
      <c r="M75" s="17">
        <f>30 + 0.7 * 0</f>
        <v>30</v>
      </c>
      <c r="N75" s="17"/>
      <c r="O75" s="33" t="s">
        <v>76</v>
      </c>
      <c r="P75" s="34"/>
      <c r="Q75" s="34"/>
      <c r="R75" s="57"/>
      <c r="S75" s="19">
        <f>IF(J75="미제출",0,IF(K75="O",J75*0.66,J75))+IF(M75="미제출",0,IF(N75="O",M75*0.66,M75))</f>
        <v>123</v>
      </c>
      <c r="T75" s="20"/>
      <c r="U75" s="20"/>
      <c r="V75" s="20"/>
      <c r="W75" s="20"/>
      <c r="X75" s="21"/>
      <c r="Y75" s="19"/>
      <c r="Z75" s="23"/>
      <c r="AF75" s="36"/>
    </row>
    <row r="76" spans="1:32" ht="18" customHeight="1">
      <c r="A76" s="16">
        <v>15</v>
      </c>
      <c r="B76" s="1" t="s">
        <v>31</v>
      </c>
      <c r="C76" s="1"/>
      <c r="D76" s="1" t="s">
        <v>40</v>
      </c>
      <c r="E76" s="1" t="s">
        <v>41</v>
      </c>
      <c r="F76" s="1" t="s">
        <v>199</v>
      </c>
      <c r="G76" s="1" t="s">
        <v>200</v>
      </c>
      <c r="H76" s="1">
        <v>10</v>
      </c>
      <c r="I76" s="31"/>
      <c r="J76" s="17">
        <f>30 + 0.7 * 44</f>
        <v>60.8</v>
      </c>
      <c r="K76" s="17"/>
      <c r="L76" s="18"/>
      <c r="M76" s="17">
        <f>30 + 0.7 * 64</f>
        <v>74.8</v>
      </c>
      <c r="N76" s="17"/>
      <c r="O76" s="18"/>
      <c r="P76" s="51" t="s">
        <v>30</v>
      </c>
      <c r="Q76" s="52"/>
      <c r="R76" s="53"/>
      <c r="S76" s="19">
        <f>IF(J76="미제출",0,IF(K76="O",J76*0.66,J76))+IF(M76="미제출",0,IF(N76="O",M76*0.66,M76))</f>
        <v>135.6</v>
      </c>
      <c r="T76" s="20"/>
      <c r="U76" s="20"/>
      <c r="V76" s="20"/>
      <c r="W76" s="20"/>
      <c r="X76" s="21"/>
      <c r="Y76" s="19"/>
      <c r="Z76" s="23"/>
      <c r="AF76" s="36"/>
    </row>
    <row r="77" spans="1:32" ht="18" customHeight="1">
      <c r="A77" s="16">
        <v>21</v>
      </c>
      <c r="B77" s="1" t="s">
        <v>23</v>
      </c>
      <c r="C77" s="1"/>
      <c r="D77" s="1" t="s">
        <v>25</v>
      </c>
      <c r="E77" s="1" t="s">
        <v>46</v>
      </c>
      <c r="F77" s="1" t="s">
        <v>201</v>
      </c>
      <c r="G77" s="1" t="s">
        <v>202</v>
      </c>
      <c r="H77" s="1">
        <v>10</v>
      </c>
      <c r="I77" s="30"/>
      <c r="J77" s="17">
        <f>30 + 0.7 * 100</f>
        <v>100</v>
      </c>
      <c r="K77" s="17"/>
      <c r="L77" s="7"/>
      <c r="M77" s="17">
        <f>30 + 0.7 * 96</f>
        <v>97.199999999999989</v>
      </c>
      <c r="N77" s="17"/>
      <c r="O77" s="7"/>
      <c r="P77" s="51" t="s">
        <v>30</v>
      </c>
      <c r="Q77" s="52"/>
      <c r="R77" s="53"/>
      <c r="S77" s="19">
        <f>IF(J77="미제출",0,IF(K77="O",J77*0.66,J77))+IF(M77="미제출",0,IF(N77="O",M77*0.66,M77))</f>
        <v>197.2</v>
      </c>
      <c r="T77" s="19"/>
      <c r="U77" s="19"/>
      <c r="V77" s="20"/>
      <c r="W77" s="20"/>
      <c r="X77" s="21"/>
      <c r="Y77" s="7"/>
      <c r="Z77" s="7"/>
      <c r="AF77" s="36"/>
    </row>
    <row r="78" spans="1:32" ht="18" customHeight="1">
      <c r="A78" s="16">
        <v>27</v>
      </c>
      <c r="B78" s="1" t="s">
        <v>23</v>
      </c>
      <c r="C78" s="2" t="s">
        <v>136</v>
      </c>
      <c r="D78" s="1" t="s">
        <v>25</v>
      </c>
      <c r="E78" s="1" t="s">
        <v>46</v>
      </c>
      <c r="F78" s="1" t="s">
        <v>203</v>
      </c>
      <c r="G78" s="1" t="s">
        <v>204</v>
      </c>
      <c r="H78" s="1">
        <v>10</v>
      </c>
      <c r="I78" s="30"/>
      <c r="J78" s="34" t="s">
        <v>30</v>
      </c>
      <c r="K78" s="34"/>
      <c r="L78" s="35"/>
      <c r="M78" s="37" t="s">
        <v>30</v>
      </c>
      <c r="N78" s="37"/>
      <c r="O78" s="38"/>
      <c r="P78" s="51" t="s">
        <v>30</v>
      </c>
      <c r="Q78" s="52"/>
      <c r="R78" s="53"/>
      <c r="S78" s="19">
        <f>IF(J78="미제출",0,IF(K78="O",J78*0.66,J78))+IF(M78="미제출",0,IF(N78="O",M78*0.66,M78))</f>
        <v>0</v>
      </c>
      <c r="T78" s="19"/>
      <c r="U78" s="19"/>
      <c r="V78" s="20"/>
      <c r="W78" s="20"/>
      <c r="X78" s="21"/>
      <c r="Y78" s="7"/>
      <c r="Z78" s="7"/>
      <c r="AF78" s="36"/>
    </row>
    <row r="79" spans="1:32" ht="18" customHeight="1">
      <c r="A79" s="16">
        <v>40</v>
      </c>
      <c r="B79" s="1" t="s">
        <v>23</v>
      </c>
      <c r="C79" s="1"/>
      <c r="D79" s="1" t="s">
        <v>25</v>
      </c>
      <c r="E79" s="1" t="s">
        <v>46</v>
      </c>
      <c r="F79" s="1">
        <v>20223084</v>
      </c>
      <c r="G79" s="1" t="s">
        <v>205</v>
      </c>
      <c r="H79" s="3">
        <v>0</v>
      </c>
      <c r="I79" s="30"/>
      <c r="J79" s="17">
        <f>30 + 0.7 * (40 - 20)</f>
        <v>44</v>
      </c>
      <c r="K79" s="17"/>
      <c r="L79" s="18" t="s">
        <v>29</v>
      </c>
      <c r="M79" s="17">
        <f>30 + 0.7 * (0 + 20)</f>
        <v>44</v>
      </c>
      <c r="N79" s="17"/>
      <c r="O79" s="18" t="s">
        <v>35</v>
      </c>
      <c r="P79" s="51" t="s">
        <v>30</v>
      </c>
      <c r="Q79" s="52"/>
      <c r="R79" s="53"/>
      <c r="S79" s="19">
        <f>IF(J79="미제출",0,IF(K79="O",J79*0.66,J79))+IF(M79="미제출",0,IF(N79="O",M79*0.66,M79))</f>
        <v>88</v>
      </c>
      <c r="T79" s="19"/>
      <c r="U79" s="19"/>
      <c r="V79" s="20"/>
      <c r="W79" s="20"/>
      <c r="X79" s="21"/>
      <c r="Y79" s="7"/>
      <c r="Z79" s="7"/>
      <c r="AF79" s="36"/>
    </row>
    <row r="80" spans="1:32" ht="18" customHeight="1">
      <c r="A80" s="16">
        <v>47</v>
      </c>
      <c r="B80" s="1" t="s">
        <v>23</v>
      </c>
      <c r="C80" s="1"/>
      <c r="D80" s="1" t="s">
        <v>25</v>
      </c>
      <c r="E80" s="1" t="s">
        <v>46</v>
      </c>
      <c r="F80" s="1" t="s">
        <v>206</v>
      </c>
      <c r="G80" s="1" t="s">
        <v>207</v>
      </c>
      <c r="H80" s="1">
        <v>10</v>
      </c>
      <c r="I80" s="30"/>
      <c r="J80" s="17">
        <f>30 + 0.7 * 100</f>
        <v>100</v>
      </c>
      <c r="K80" s="17"/>
      <c r="L80" s="7"/>
      <c r="M80" s="17">
        <f>30 + 0.7 * 100</f>
        <v>100</v>
      </c>
      <c r="N80" s="17"/>
      <c r="O80" s="7"/>
      <c r="P80" s="17">
        <v>100</v>
      </c>
      <c r="Q80" s="17"/>
      <c r="R80" s="7"/>
      <c r="S80" s="19">
        <f>IF(J80="미제출",0,IF(K80="O",J80*0.66,J80))+IF(M80="미제출",0,IF(N80="O",M80*0.66,M80))</f>
        <v>200</v>
      </c>
      <c r="T80" s="19"/>
      <c r="U80" s="19"/>
      <c r="V80" s="20"/>
      <c r="W80" s="20"/>
      <c r="X80" s="21"/>
      <c r="Y80" s="7"/>
      <c r="Z80" s="7"/>
      <c r="AF80" s="36"/>
    </row>
    <row r="81" spans="1:32" ht="18" customHeight="1">
      <c r="A81" s="16">
        <v>73</v>
      </c>
      <c r="B81" s="1" t="s">
        <v>23</v>
      </c>
      <c r="C81" s="1"/>
      <c r="D81" s="1" t="s">
        <v>40</v>
      </c>
      <c r="E81" s="1" t="s">
        <v>41</v>
      </c>
      <c r="F81" s="1" t="s">
        <v>208</v>
      </c>
      <c r="G81" s="1" t="s">
        <v>209</v>
      </c>
      <c r="H81" s="1">
        <v>10</v>
      </c>
      <c r="I81" s="30"/>
      <c r="J81" s="17">
        <f>30 + 0.7 * 20</f>
        <v>44</v>
      </c>
      <c r="K81" s="17" t="s">
        <v>85</v>
      </c>
      <c r="L81" s="18" t="s">
        <v>29</v>
      </c>
      <c r="M81" s="17">
        <f>30 + 0.7 * 0</f>
        <v>30</v>
      </c>
      <c r="N81" s="17" t="s">
        <v>85</v>
      </c>
      <c r="O81" s="18" t="s">
        <v>69</v>
      </c>
      <c r="P81" s="51" t="s">
        <v>30</v>
      </c>
      <c r="Q81" s="52"/>
      <c r="R81" s="53"/>
      <c r="S81" s="19">
        <f>IF(J81="미제출",0,IF(K81="O",J81*0.66,J81))+IF(M81="미제출",0,IF(N81="O",M81*0.66,M81))</f>
        <v>48.84</v>
      </c>
      <c r="T81" s="20"/>
      <c r="U81" s="20"/>
      <c r="V81" s="20"/>
      <c r="W81" s="20"/>
      <c r="X81" s="21"/>
      <c r="Y81" s="19"/>
      <c r="Z81" s="23"/>
      <c r="AF81" s="36"/>
    </row>
    <row r="82" spans="1:32" ht="18" customHeight="1">
      <c r="A82" s="16">
        <v>90</v>
      </c>
      <c r="B82" s="1" t="s">
        <v>31</v>
      </c>
      <c r="C82" s="1"/>
      <c r="D82" s="1" t="s">
        <v>25</v>
      </c>
      <c r="E82" s="1" t="s">
        <v>46</v>
      </c>
      <c r="F82" s="1" t="s">
        <v>210</v>
      </c>
      <c r="G82" s="6" t="s">
        <v>211</v>
      </c>
      <c r="H82" s="1">
        <v>10</v>
      </c>
      <c r="I82" s="31"/>
      <c r="J82" s="17">
        <f>30 + 0.7 * 0</f>
        <v>30</v>
      </c>
      <c r="K82" s="17" t="s">
        <v>85</v>
      </c>
      <c r="L82" s="18" t="s">
        <v>29</v>
      </c>
      <c r="M82" s="37" t="s">
        <v>30</v>
      </c>
      <c r="N82" s="37"/>
      <c r="O82" s="38"/>
      <c r="P82" s="51" t="s">
        <v>30</v>
      </c>
      <c r="Q82" s="52"/>
      <c r="R82" s="53"/>
      <c r="S82" s="19">
        <f>IF(J82="미제출",0,IF(K82="O",J82*0.66,J82))+IF(M82="미제출",0,IF(N82="O",M82*0.66,M82))</f>
        <v>19.8</v>
      </c>
      <c r="T82" s="20"/>
      <c r="U82" s="20"/>
      <c r="V82" s="20"/>
      <c r="W82" s="20"/>
      <c r="X82" s="21"/>
      <c r="Y82" s="19"/>
      <c r="Z82" s="23"/>
      <c r="AF82" s="36"/>
    </row>
    <row r="83" spans="1:32" ht="18" customHeight="1">
      <c r="A83" s="16">
        <v>102</v>
      </c>
      <c r="B83" s="1" t="s">
        <v>23</v>
      </c>
      <c r="C83" s="1"/>
      <c r="D83" s="1" t="s">
        <v>25</v>
      </c>
      <c r="E83" s="1" t="s">
        <v>46</v>
      </c>
      <c r="F83" s="1" t="s">
        <v>212</v>
      </c>
      <c r="G83" s="1" t="s">
        <v>213</v>
      </c>
      <c r="H83" s="1">
        <v>10</v>
      </c>
      <c r="I83" s="31"/>
      <c r="J83" s="17">
        <f>30 + 0.7 * 76</f>
        <v>83.199999999999989</v>
      </c>
      <c r="K83" s="17"/>
      <c r="L83" s="18"/>
      <c r="M83" s="17">
        <f>30 + 0.7 * 32</f>
        <v>52.4</v>
      </c>
      <c r="N83" s="17"/>
      <c r="O83" s="18"/>
      <c r="P83" s="51" t="s">
        <v>30</v>
      </c>
      <c r="Q83" s="52"/>
      <c r="R83" s="53"/>
      <c r="S83" s="19">
        <f>IF(J83="미제출",0,IF(K83="O",J83*0.66,J83))+IF(M83="미제출",0,IF(N83="O",M83*0.66,M83))</f>
        <v>135.6</v>
      </c>
      <c r="T83" s="20"/>
      <c r="U83" s="20"/>
      <c r="V83" s="20"/>
      <c r="W83" s="20"/>
      <c r="X83" s="21"/>
      <c r="Y83" s="19"/>
      <c r="Z83" s="23"/>
      <c r="AF83" s="36"/>
    </row>
    <row r="84" spans="1:32" ht="18" customHeight="1">
      <c r="A84" s="16">
        <v>103</v>
      </c>
      <c r="B84" s="1" t="s">
        <v>31</v>
      </c>
      <c r="C84" s="1"/>
      <c r="D84" s="1" t="s">
        <v>25</v>
      </c>
      <c r="E84" s="1" t="s">
        <v>46</v>
      </c>
      <c r="F84" s="1" t="s">
        <v>214</v>
      </c>
      <c r="G84" s="1" t="s">
        <v>215</v>
      </c>
      <c r="H84" s="1">
        <v>10</v>
      </c>
      <c r="I84" s="31"/>
      <c r="J84" s="17">
        <f>30 + 0.7 * (100 - 20)</f>
        <v>86</v>
      </c>
      <c r="K84" s="17"/>
      <c r="L84" s="18" t="s">
        <v>29</v>
      </c>
      <c r="M84" s="17">
        <f>30 + 0.7 * 0</f>
        <v>30</v>
      </c>
      <c r="N84" s="17"/>
      <c r="O84" s="18" t="s">
        <v>76</v>
      </c>
      <c r="P84" s="51" t="s">
        <v>30</v>
      </c>
      <c r="Q84" s="52"/>
      <c r="R84" s="53"/>
      <c r="S84" s="19">
        <f>IF(J84="미제출",0,IF(K84="O",J84*0.66,J84))+IF(M84="미제출",0,IF(N84="O",M84*0.66,M84))</f>
        <v>116</v>
      </c>
      <c r="T84" s="20"/>
      <c r="U84" s="20"/>
      <c r="V84" s="20"/>
      <c r="W84" s="20"/>
      <c r="X84" s="21"/>
      <c r="Y84" s="19"/>
      <c r="Z84" s="23"/>
      <c r="AF84" s="36"/>
    </row>
    <row r="85" spans="1:32" ht="18" customHeight="1">
      <c r="A85" s="16">
        <v>39</v>
      </c>
      <c r="B85" s="1" t="s">
        <v>23</v>
      </c>
      <c r="C85" s="1"/>
      <c r="D85" s="1" t="s">
        <v>216</v>
      </c>
      <c r="E85" s="1" t="s">
        <v>46</v>
      </c>
      <c r="F85" s="1" t="s">
        <v>217</v>
      </c>
      <c r="G85" s="1" t="s">
        <v>218</v>
      </c>
      <c r="H85" s="1">
        <v>10</v>
      </c>
      <c r="I85" s="30"/>
      <c r="J85" s="17">
        <f>30 + 0.7 * (34 - 20)</f>
        <v>39.799999999999997</v>
      </c>
      <c r="K85" s="17"/>
      <c r="L85" s="7" t="s">
        <v>172</v>
      </c>
      <c r="M85" s="17">
        <f>30 + 0.7 * 0</f>
        <v>30</v>
      </c>
      <c r="N85" s="17"/>
      <c r="O85" s="7" t="s">
        <v>219</v>
      </c>
      <c r="P85" s="51" t="s">
        <v>30</v>
      </c>
      <c r="Q85" s="52"/>
      <c r="R85" s="53"/>
      <c r="S85" s="19">
        <f>IF(J85="미제출",0,IF(K85="O",J85*0.66,J85))+IF(M85="미제출",0,IF(N85="O",M85*0.66,M85))</f>
        <v>69.8</v>
      </c>
      <c r="T85" s="19"/>
      <c r="U85" s="19"/>
      <c r="V85" s="20"/>
      <c r="W85" s="20"/>
      <c r="X85" s="21"/>
      <c r="Y85" s="7"/>
      <c r="Z85" s="7"/>
      <c r="AF85" s="36"/>
    </row>
    <row r="86" spans="1:32" ht="18" customHeight="1">
      <c r="A86" s="16">
        <v>97</v>
      </c>
      <c r="B86" s="1" t="s">
        <v>23</v>
      </c>
      <c r="C86" s="1"/>
      <c r="D86" s="1" t="s">
        <v>216</v>
      </c>
      <c r="E86" s="1" t="s">
        <v>46</v>
      </c>
      <c r="F86" s="1" t="s">
        <v>220</v>
      </c>
      <c r="G86" s="1" t="s">
        <v>221</v>
      </c>
      <c r="H86" s="1">
        <v>10</v>
      </c>
      <c r="I86" s="31"/>
      <c r="J86" s="17">
        <f>30 + 0.7 * 84</f>
        <v>88.8</v>
      </c>
      <c r="K86" s="17"/>
      <c r="L86" s="18"/>
      <c r="M86" s="17">
        <f>30 + 0.7 * 0</f>
        <v>30</v>
      </c>
      <c r="N86" s="17"/>
      <c r="O86" s="18" t="s">
        <v>45</v>
      </c>
      <c r="P86" s="34"/>
      <c r="Q86" s="34"/>
      <c r="R86" s="35" t="s">
        <v>110</v>
      </c>
      <c r="S86" s="19">
        <f>IF(J86="미제출",0,IF(K86="O",J86*0.66,J86))+IF(M86="미제출",0,IF(N86="O",M86*0.66,M86))</f>
        <v>118.8</v>
      </c>
      <c r="T86" s="20"/>
      <c r="U86" s="20"/>
      <c r="V86" s="20"/>
      <c r="W86" s="20"/>
      <c r="X86" s="21"/>
      <c r="Y86" s="19"/>
      <c r="Z86" s="23"/>
      <c r="AF86" s="36"/>
    </row>
    <row r="87" spans="1:32" ht="18" customHeight="1">
      <c r="A87" s="16">
        <v>24</v>
      </c>
      <c r="B87" s="1" t="s">
        <v>23</v>
      </c>
      <c r="C87" s="2" t="s">
        <v>136</v>
      </c>
      <c r="D87" s="1" t="s">
        <v>25</v>
      </c>
      <c r="E87" s="1" t="s">
        <v>46</v>
      </c>
      <c r="F87" s="1" t="s">
        <v>222</v>
      </c>
      <c r="G87" s="1" t="s">
        <v>223</v>
      </c>
      <c r="H87" s="1">
        <v>10</v>
      </c>
      <c r="I87" s="30"/>
      <c r="J87" s="17">
        <f>30 + 0.7 * 0</f>
        <v>30</v>
      </c>
      <c r="K87" s="17" t="s">
        <v>85</v>
      </c>
      <c r="L87" s="18"/>
      <c r="M87" s="17">
        <f>30 + 0.7 * 32</f>
        <v>52.4</v>
      </c>
      <c r="N87" s="17" t="s">
        <v>85</v>
      </c>
      <c r="O87" s="7"/>
      <c r="P87" s="51" t="s">
        <v>30</v>
      </c>
      <c r="Q87" s="52"/>
      <c r="R87" s="53"/>
      <c r="S87" s="19">
        <f>IF(J87="미제출",0,IF(K87="O",J87*0.66,J87))+IF(M87="미제출",0,IF(N87="O",M87*0.66,M87))</f>
        <v>54.384</v>
      </c>
      <c r="T87" s="19"/>
      <c r="U87" s="19"/>
      <c r="V87" s="20"/>
      <c r="W87" s="20"/>
      <c r="X87" s="21"/>
      <c r="Y87" s="7"/>
      <c r="Z87" s="7"/>
      <c r="AF87" s="36"/>
    </row>
    <row r="88" spans="1:32" ht="18" customHeight="1">
      <c r="A88" s="16">
        <v>98</v>
      </c>
      <c r="B88" s="1" t="s">
        <v>31</v>
      </c>
      <c r="C88" s="2" t="s">
        <v>136</v>
      </c>
      <c r="D88" s="1" t="s">
        <v>25</v>
      </c>
      <c r="E88" s="1" t="s">
        <v>46</v>
      </c>
      <c r="F88" s="1" t="s">
        <v>224</v>
      </c>
      <c r="G88" s="1" t="s">
        <v>225</v>
      </c>
      <c r="H88" s="3">
        <v>0</v>
      </c>
      <c r="I88" s="31"/>
      <c r="J88" s="34" t="s">
        <v>30</v>
      </c>
      <c r="K88" s="34"/>
      <c r="L88" s="35"/>
      <c r="M88" s="37" t="s">
        <v>30</v>
      </c>
      <c r="N88" s="37"/>
      <c r="O88" s="38"/>
      <c r="P88" s="51" t="s">
        <v>30</v>
      </c>
      <c r="Q88" s="52"/>
      <c r="R88" s="53"/>
      <c r="S88" s="19">
        <f>IF(J88="미제출",0,IF(K88="O",J88*0.66,J88))+IF(M88="미제출",0,IF(N88="O",M88*0.66,M88))</f>
        <v>0</v>
      </c>
      <c r="T88" s="20"/>
      <c r="U88" s="20"/>
      <c r="V88" s="20"/>
      <c r="W88" s="20"/>
      <c r="X88" s="21"/>
      <c r="Y88" s="19"/>
      <c r="Z88" s="23"/>
      <c r="AF88" s="36"/>
    </row>
    <row r="89" spans="1:32" ht="18" customHeight="1">
      <c r="A89" s="16">
        <v>14</v>
      </c>
      <c r="B89" s="1" t="s">
        <v>23</v>
      </c>
      <c r="C89" s="1"/>
      <c r="D89" s="1" t="s">
        <v>25</v>
      </c>
      <c r="E89" s="1" t="s">
        <v>46</v>
      </c>
      <c r="F89" s="1" t="s">
        <v>226</v>
      </c>
      <c r="G89" s="1" t="s">
        <v>227</v>
      </c>
      <c r="H89" s="1">
        <v>10</v>
      </c>
      <c r="I89" s="30"/>
      <c r="J89" s="34" t="s">
        <v>30</v>
      </c>
      <c r="K89" s="34"/>
      <c r="L89" s="35"/>
      <c r="M89" s="17">
        <f>30 + 0.7 * 0</f>
        <v>30</v>
      </c>
      <c r="N89" s="17"/>
      <c r="O89" s="18" t="s">
        <v>76</v>
      </c>
      <c r="P89" s="51" t="s">
        <v>30</v>
      </c>
      <c r="Q89" s="52"/>
      <c r="R89" s="53"/>
      <c r="S89" s="19">
        <f>IF(J89="미제출",0,IF(K89="O",J89*0.66,J89))+IF(M89="미제출",0,IF(N89="O",M89*0.66,M89))</f>
        <v>30</v>
      </c>
      <c r="T89" s="19"/>
      <c r="U89" s="19"/>
      <c r="V89" s="20"/>
      <c r="W89" s="20"/>
      <c r="X89" s="21"/>
      <c r="Y89" s="7"/>
      <c r="Z89" s="7"/>
      <c r="AF89" s="36"/>
    </row>
    <row r="90" spans="1:32" ht="18" customHeight="1">
      <c r="A90" s="16">
        <v>44</v>
      </c>
      <c r="B90" s="1" t="s">
        <v>23</v>
      </c>
      <c r="C90" s="1"/>
      <c r="D90" s="1" t="s">
        <v>25</v>
      </c>
      <c r="E90" s="1" t="s">
        <v>41</v>
      </c>
      <c r="F90" s="1" t="s">
        <v>228</v>
      </c>
      <c r="G90" s="1" t="s">
        <v>229</v>
      </c>
      <c r="H90" s="1">
        <v>10</v>
      </c>
      <c r="I90" s="30"/>
      <c r="J90" s="17">
        <f>30 + 0.7 * (32 - 20)</f>
        <v>38.4</v>
      </c>
      <c r="K90" s="17"/>
      <c r="L90" s="18" t="s">
        <v>29</v>
      </c>
      <c r="M90" s="17">
        <f>30 + 0.7 * 0</f>
        <v>30</v>
      </c>
      <c r="N90" s="17"/>
      <c r="O90" s="7" t="s">
        <v>76</v>
      </c>
      <c r="P90" s="51" t="s">
        <v>30</v>
      </c>
      <c r="Q90" s="52"/>
      <c r="R90" s="53"/>
      <c r="S90" s="19">
        <f>IF(J90="미제출",0,IF(K90="O",J90*0.66,J90))+IF(M90="미제출",0,IF(N90="O",M90*0.66,M90))</f>
        <v>68.400000000000006</v>
      </c>
      <c r="T90" s="19"/>
      <c r="U90" s="19"/>
      <c r="V90" s="20"/>
      <c r="W90" s="20"/>
      <c r="X90" s="21"/>
      <c r="Y90" s="7"/>
      <c r="Z90" s="7"/>
      <c r="AF90" s="36"/>
    </row>
    <row r="91" spans="1:32" ht="18" customHeight="1">
      <c r="A91" s="16">
        <v>63</v>
      </c>
      <c r="B91" s="1" t="s">
        <v>23</v>
      </c>
      <c r="C91" s="1"/>
      <c r="D91" s="1" t="s">
        <v>25</v>
      </c>
      <c r="E91" s="1" t="s">
        <v>41</v>
      </c>
      <c r="F91" s="1" t="s">
        <v>230</v>
      </c>
      <c r="G91" s="1" t="s">
        <v>231</v>
      </c>
      <c r="H91" s="1">
        <v>10</v>
      </c>
      <c r="I91" s="31"/>
      <c r="J91" s="17">
        <f>30 + 0.7 * (40 - 20)</f>
        <v>44</v>
      </c>
      <c r="K91" s="17"/>
      <c r="L91" s="18" t="s">
        <v>29</v>
      </c>
      <c r="M91" s="17">
        <f>30 + 0.7 * (32 + 20)</f>
        <v>66.400000000000006</v>
      </c>
      <c r="N91" s="17"/>
      <c r="O91" s="18" t="s">
        <v>35</v>
      </c>
      <c r="P91" s="51" t="s">
        <v>30</v>
      </c>
      <c r="Q91" s="52"/>
      <c r="R91" s="53"/>
      <c r="S91" s="19">
        <f>IF(J91="미제출",0,IF(K91="O",J91*0.66,J91))+IF(M91="미제출",0,IF(N91="O",M91*0.66,M91))</f>
        <v>110.4</v>
      </c>
      <c r="T91" s="20"/>
      <c r="U91" s="20"/>
      <c r="V91" s="20"/>
      <c r="W91" s="20"/>
      <c r="X91" s="21"/>
      <c r="Y91" s="19"/>
      <c r="Z91" s="7"/>
      <c r="AF91" s="36"/>
    </row>
    <row r="92" spans="1:32" ht="18" customHeight="1">
      <c r="A92" s="16">
        <v>99</v>
      </c>
      <c r="B92" s="1" t="s">
        <v>23</v>
      </c>
      <c r="C92" s="1"/>
      <c r="D92" s="5" t="s">
        <v>131</v>
      </c>
      <c r="E92" s="1" t="s">
        <v>41</v>
      </c>
      <c r="F92" s="1" t="s">
        <v>232</v>
      </c>
      <c r="G92" s="1" t="s">
        <v>233</v>
      </c>
      <c r="H92" s="1">
        <v>10</v>
      </c>
      <c r="I92" s="31"/>
      <c r="J92" s="17">
        <f>30 + 0.7 * (56 - 20)</f>
        <v>55.2</v>
      </c>
      <c r="K92" s="17"/>
      <c r="L92" s="18" t="s">
        <v>29</v>
      </c>
      <c r="M92" s="17">
        <f>30 + 0.7 * 0</f>
        <v>30</v>
      </c>
      <c r="N92" s="17"/>
      <c r="O92" s="18" t="s">
        <v>110</v>
      </c>
      <c r="P92" s="51" t="s">
        <v>30</v>
      </c>
      <c r="Q92" s="52"/>
      <c r="R92" s="53"/>
      <c r="S92" s="19">
        <f>IF(J92="미제출",0,IF(K92="O",J92*0.66,J92))+IF(M92="미제출",0,IF(N92="O",M92*0.66,M92))</f>
        <v>85.2</v>
      </c>
      <c r="T92" s="20"/>
      <c r="U92" s="20"/>
      <c r="V92" s="20"/>
      <c r="W92" s="20"/>
      <c r="X92" s="21"/>
      <c r="Y92" s="19"/>
      <c r="Z92" s="23"/>
    </row>
    <row r="93" spans="1:32" ht="18" customHeight="1">
      <c r="A93" s="16">
        <v>1</v>
      </c>
      <c r="B93" s="1" t="s">
        <v>31</v>
      </c>
      <c r="C93" s="1"/>
      <c r="D93" s="1" t="s">
        <v>40</v>
      </c>
      <c r="E93" s="1" t="s">
        <v>41</v>
      </c>
      <c r="F93" s="1" t="s">
        <v>234</v>
      </c>
      <c r="G93" s="1" t="s">
        <v>235</v>
      </c>
      <c r="H93" s="1">
        <v>10</v>
      </c>
      <c r="I93" s="30"/>
      <c r="J93" s="17">
        <f>30 + 0.7 * (56 - 20)</f>
        <v>55.2</v>
      </c>
      <c r="K93" s="17"/>
      <c r="L93" s="18" t="s">
        <v>29</v>
      </c>
      <c r="M93" s="37" t="s">
        <v>30</v>
      </c>
      <c r="N93" s="37"/>
      <c r="O93" s="38"/>
      <c r="P93" s="51" t="s">
        <v>30</v>
      </c>
      <c r="Q93" s="52"/>
      <c r="R93" s="53"/>
      <c r="S93" s="19">
        <f>IF(J93="미제출",0,IF(K93="O",J93*0.66,J93))+IF(M93="미제출",0,IF(N93="O",M93*0.66,M93))</f>
        <v>55.2</v>
      </c>
      <c r="T93" s="20"/>
      <c r="U93" s="20"/>
      <c r="V93" s="20"/>
      <c r="W93" s="20"/>
      <c r="X93" s="21"/>
      <c r="Y93" s="19"/>
      <c r="Z93" s="7"/>
    </row>
    <row r="94" spans="1:32" ht="18" customHeight="1">
      <c r="A94" s="16">
        <v>13</v>
      </c>
      <c r="B94" s="1" t="s">
        <v>23</v>
      </c>
      <c r="C94" s="1"/>
      <c r="D94" s="1" t="s">
        <v>40</v>
      </c>
      <c r="E94" s="1" t="s">
        <v>41</v>
      </c>
      <c r="F94" s="1" t="s">
        <v>236</v>
      </c>
      <c r="G94" s="1" t="s">
        <v>237</v>
      </c>
      <c r="H94" s="1">
        <v>10</v>
      </c>
      <c r="I94" s="30"/>
      <c r="J94" s="17">
        <f>30 + 0.7 * 100</f>
        <v>100</v>
      </c>
      <c r="K94" s="17"/>
      <c r="L94" s="7"/>
      <c r="M94" s="17">
        <f>30 + 0.7 * 96</f>
        <v>97.199999999999989</v>
      </c>
      <c r="N94" s="17"/>
      <c r="O94" s="7"/>
      <c r="P94" s="34">
        <v>68</v>
      </c>
      <c r="Q94" s="34"/>
      <c r="R94" s="50" t="s">
        <v>293</v>
      </c>
      <c r="S94" s="19">
        <f>IF(J94="미제출",0,IF(K94="O",J94*0.66,J94))+IF(M94="미제출",0,IF(N94="O",M94*0.66,M94))</f>
        <v>197.2</v>
      </c>
      <c r="T94" s="19"/>
      <c r="U94" s="19"/>
      <c r="V94" s="20"/>
      <c r="W94" s="20"/>
      <c r="X94" s="21"/>
      <c r="Y94" s="7"/>
      <c r="Z94" s="7"/>
    </row>
    <row r="95" spans="1:32" ht="18" customHeight="1">
      <c r="A95" s="16">
        <v>26</v>
      </c>
      <c r="B95" s="1" t="s">
        <v>23</v>
      </c>
      <c r="C95" s="2" t="s">
        <v>136</v>
      </c>
      <c r="D95" s="1" t="s">
        <v>40</v>
      </c>
      <c r="E95" s="1" t="s">
        <v>41</v>
      </c>
      <c r="F95" s="1" t="s">
        <v>238</v>
      </c>
      <c r="G95" s="1" t="s">
        <v>239</v>
      </c>
      <c r="H95" s="1">
        <v>10</v>
      </c>
      <c r="I95" s="30"/>
      <c r="J95" s="17">
        <f>30 + 0.7 * (80 - 20)</f>
        <v>72</v>
      </c>
      <c r="K95" s="17"/>
      <c r="L95" s="18" t="s">
        <v>29</v>
      </c>
      <c r="M95" s="17">
        <f>30 + 0.7 * 0</f>
        <v>30</v>
      </c>
      <c r="N95" s="17"/>
      <c r="O95" s="7" t="s">
        <v>69</v>
      </c>
      <c r="P95" s="51" t="s">
        <v>30</v>
      </c>
      <c r="Q95" s="52"/>
      <c r="R95" s="53"/>
      <c r="S95" s="19">
        <f>IF(J95="미제출",0,IF(K95="O",J95*0.66,J95))+IF(M95="미제출",0,IF(N95="O",M95*0.66,M95))</f>
        <v>102</v>
      </c>
      <c r="T95" s="19"/>
      <c r="U95" s="19"/>
      <c r="V95" s="20"/>
      <c r="W95" s="20"/>
      <c r="X95" s="21"/>
      <c r="Y95" s="7"/>
      <c r="Z95" s="7"/>
    </row>
    <row r="96" spans="1:32" ht="18" customHeight="1">
      <c r="A96" s="16">
        <v>33</v>
      </c>
      <c r="B96" s="1" t="s">
        <v>23</v>
      </c>
      <c r="C96" s="1"/>
      <c r="D96" s="1" t="s">
        <v>40</v>
      </c>
      <c r="E96" s="1" t="s">
        <v>41</v>
      </c>
      <c r="F96" s="1" t="s">
        <v>240</v>
      </c>
      <c r="G96" s="1" t="s">
        <v>241</v>
      </c>
      <c r="H96" s="3">
        <v>0</v>
      </c>
      <c r="I96" s="30"/>
      <c r="J96" s="17">
        <f>30 + 0.7 * 72</f>
        <v>80.400000000000006</v>
      </c>
      <c r="K96" s="17"/>
      <c r="L96" s="7"/>
      <c r="M96" s="17">
        <f>30 + 0.7 * 100</f>
        <v>100</v>
      </c>
      <c r="N96" s="17"/>
      <c r="O96" s="7"/>
      <c r="P96" s="51" t="s">
        <v>30</v>
      </c>
      <c r="Q96" s="52"/>
      <c r="R96" s="53"/>
      <c r="S96" s="19">
        <f>IF(J96="미제출",0,IF(K96="O",J96*0.66,J96))+IF(M96="미제출",0,IF(N96="O",M96*0.66,M96))</f>
        <v>180.4</v>
      </c>
      <c r="T96" s="19"/>
      <c r="U96" s="19"/>
      <c r="V96" s="20"/>
      <c r="W96" s="20"/>
      <c r="X96" s="21"/>
      <c r="Y96" s="7"/>
      <c r="Z96" s="7"/>
    </row>
    <row r="97" spans="1:27" ht="18" customHeight="1">
      <c r="A97" s="16">
        <v>36</v>
      </c>
      <c r="B97" s="1" t="s">
        <v>23</v>
      </c>
      <c r="C97" s="1"/>
      <c r="D97" s="1" t="s">
        <v>40</v>
      </c>
      <c r="E97" s="1" t="s">
        <v>41</v>
      </c>
      <c r="F97" s="1" t="s">
        <v>242</v>
      </c>
      <c r="G97" s="1" t="s">
        <v>243</v>
      </c>
      <c r="H97" s="1">
        <v>10</v>
      </c>
      <c r="I97" s="30"/>
      <c r="J97" s="17">
        <f>30 + 0.7 * 100</f>
        <v>100</v>
      </c>
      <c r="K97" s="17"/>
      <c r="L97" s="7"/>
      <c r="M97" s="17">
        <f>30 + 0.7 * (22 + 20)</f>
        <v>59.4</v>
      </c>
      <c r="N97" s="17"/>
      <c r="O97" s="18" t="s">
        <v>35</v>
      </c>
      <c r="P97" s="34"/>
      <c r="Q97" s="34"/>
      <c r="R97" s="50"/>
      <c r="S97" s="19">
        <f>IF(J97="미제출",0,IF(K97="O",J97*0.66,J97))+IF(M97="미제출",0,IF(N97="O",M97*0.66,M97))</f>
        <v>159.4</v>
      </c>
      <c r="T97" s="19"/>
      <c r="U97" s="19"/>
      <c r="V97" s="20"/>
      <c r="W97" s="20"/>
      <c r="X97" s="21"/>
      <c r="Y97" s="7"/>
      <c r="Z97" s="7"/>
    </row>
    <row r="98" spans="1:27" ht="18" customHeight="1">
      <c r="A98" s="16">
        <v>49</v>
      </c>
      <c r="B98" s="1" t="s">
        <v>31</v>
      </c>
      <c r="C98" s="1"/>
      <c r="D98" s="1" t="s">
        <v>40</v>
      </c>
      <c r="E98" s="1" t="s">
        <v>41</v>
      </c>
      <c r="F98" s="1" t="s">
        <v>244</v>
      </c>
      <c r="G98" s="1" t="s">
        <v>245</v>
      </c>
      <c r="H98" s="1">
        <v>10</v>
      </c>
      <c r="I98" s="31"/>
      <c r="J98" s="40">
        <v>0</v>
      </c>
      <c r="K98" s="40" t="s">
        <v>85</v>
      </c>
      <c r="L98" s="41" t="s">
        <v>246</v>
      </c>
      <c r="M98" s="37" t="s">
        <v>30</v>
      </c>
      <c r="N98" s="37"/>
      <c r="O98" s="38"/>
      <c r="P98" s="51" t="s">
        <v>30</v>
      </c>
      <c r="Q98" s="52"/>
      <c r="R98" s="53"/>
      <c r="S98" s="19">
        <f>IF(J98="미제출",0,IF(K98="O",J98*0.66,J98))+IF(M98="미제출",0,IF(N98="O",M98*0.66,M98))</f>
        <v>0</v>
      </c>
      <c r="T98" s="20"/>
      <c r="U98" s="20"/>
      <c r="V98" s="20"/>
      <c r="W98" s="20"/>
      <c r="X98" s="21"/>
      <c r="Y98" s="19"/>
      <c r="Z98" s="23"/>
    </row>
    <row r="99" spans="1:27" ht="18" customHeight="1">
      <c r="A99" s="16">
        <v>50</v>
      </c>
      <c r="B99" s="1" t="s">
        <v>23</v>
      </c>
      <c r="C99" s="1"/>
      <c r="D99" s="1" t="s">
        <v>40</v>
      </c>
      <c r="E99" s="1" t="s">
        <v>41</v>
      </c>
      <c r="F99" s="1" t="s">
        <v>247</v>
      </c>
      <c r="G99" s="1" t="s">
        <v>248</v>
      </c>
      <c r="H99" s="1">
        <v>10</v>
      </c>
      <c r="I99" s="30"/>
      <c r="J99" s="17">
        <f>30 + 0.7 * 32</f>
        <v>52.4</v>
      </c>
      <c r="K99" s="17"/>
      <c r="L99" s="18"/>
      <c r="M99" s="17">
        <f>30 + 0.7 * 0</f>
        <v>30</v>
      </c>
      <c r="N99" s="17"/>
      <c r="O99" s="7" t="s">
        <v>110</v>
      </c>
      <c r="P99" s="51" t="s">
        <v>30</v>
      </c>
      <c r="Q99" s="52"/>
      <c r="R99" s="53"/>
      <c r="S99" s="19">
        <f>IF(J99="미제출",0,IF(K99="O",J99*0.66,J99))+IF(M99="미제출",0,IF(N99="O",M99*0.66,M99))</f>
        <v>82.4</v>
      </c>
      <c r="T99" s="19"/>
      <c r="U99" s="19"/>
      <c r="V99" s="20"/>
      <c r="W99" s="20"/>
      <c r="X99" s="21"/>
      <c r="Y99" s="7"/>
      <c r="Z99" s="7"/>
    </row>
    <row r="100" spans="1:27" ht="18" customHeight="1">
      <c r="A100" s="16">
        <v>58</v>
      </c>
      <c r="B100" s="1" t="s">
        <v>23</v>
      </c>
      <c r="C100" s="1"/>
      <c r="D100" s="1" t="s">
        <v>40</v>
      </c>
      <c r="E100" s="1" t="s">
        <v>41</v>
      </c>
      <c r="F100" s="1" t="s">
        <v>249</v>
      </c>
      <c r="G100" s="1" t="s">
        <v>250</v>
      </c>
      <c r="H100" s="1">
        <v>10</v>
      </c>
      <c r="I100" s="30"/>
      <c r="J100" s="17">
        <f>30 + 0.7 * 0</f>
        <v>30</v>
      </c>
      <c r="K100" s="17"/>
      <c r="L100" s="18" t="s">
        <v>196</v>
      </c>
      <c r="M100" s="17">
        <f>30 + 0.7 * (0 + 20)</f>
        <v>44</v>
      </c>
      <c r="N100" s="17"/>
      <c r="O100" s="18" t="s">
        <v>35</v>
      </c>
      <c r="P100" s="51" t="s">
        <v>30</v>
      </c>
      <c r="Q100" s="52"/>
      <c r="R100" s="53"/>
      <c r="S100" s="19">
        <f>IF(J100="미제출",0,IF(K100="O",J100*0.66,J100))+IF(M100="미제출",0,IF(N100="O",M100*0.66,M100))</f>
        <v>74</v>
      </c>
      <c r="T100" s="20"/>
      <c r="U100" s="20"/>
      <c r="V100" s="20"/>
      <c r="W100" s="20"/>
      <c r="X100" s="21"/>
      <c r="Y100" s="19"/>
      <c r="Z100" s="23"/>
    </row>
    <row r="101" spans="1:27" ht="18" customHeight="1">
      <c r="A101" s="16">
        <v>61</v>
      </c>
      <c r="B101" s="1" t="s">
        <v>31</v>
      </c>
      <c r="C101" s="2" t="s">
        <v>136</v>
      </c>
      <c r="D101" s="1" t="s">
        <v>40</v>
      </c>
      <c r="E101" s="1" t="s">
        <v>41</v>
      </c>
      <c r="F101" s="1" t="s">
        <v>251</v>
      </c>
      <c r="G101" s="1" t="s">
        <v>252</v>
      </c>
      <c r="H101" s="1">
        <v>10</v>
      </c>
      <c r="I101" s="31"/>
      <c r="J101" s="17">
        <f>30 + 0.7 * (40 - 20)</f>
        <v>44</v>
      </c>
      <c r="K101" s="17" t="s">
        <v>85</v>
      </c>
      <c r="L101" s="18" t="s">
        <v>29</v>
      </c>
      <c r="M101" s="37" t="s">
        <v>30</v>
      </c>
      <c r="N101" s="37"/>
      <c r="O101" s="38"/>
      <c r="P101" s="51" t="s">
        <v>30</v>
      </c>
      <c r="Q101" s="52"/>
      <c r="R101" s="53"/>
      <c r="S101" s="19">
        <f>IF(J101="미제출",0,IF(K101="O",J101*0.66,J101))+IF(M101="미제출",0,IF(N101="O",M101*0.66,M101))</f>
        <v>29.040000000000003</v>
      </c>
      <c r="T101" s="20"/>
      <c r="U101" s="20"/>
      <c r="V101" s="20"/>
      <c r="W101" s="20"/>
      <c r="X101" s="21"/>
      <c r="Y101" s="19"/>
      <c r="Z101" s="23"/>
    </row>
    <row r="102" spans="1:27" ht="18" customHeight="1">
      <c r="A102" s="16">
        <v>65</v>
      </c>
      <c r="B102" s="1" t="s">
        <v>31</v>
      </c>
      <c r="C102" s="1"/>
      <c r="D102" s="1" t="s">
        <v>40</v>
      </c>
      <c r="E102" s="1" t="s">
        <v>41</v>
      </c>
      <c r="F102" s="1" t="s">
        <v>253</v>
      </c>
      <c r="G102" s="1" t="s">
        <v>254</v>
      </c>
      <c r="H102" s="1">
        <v>10</v>
      </c>
      <c r="I102" s="30"/>
      <c r="J102" s="17">
        <f>30 + 0.7 * 100</f>
        <v>100</v>
      </c>
      <c r="K102" s="17"/>
      <c r="L102" s="18"/>
      <c r="M102" s="17">
        <f>30 + 0.7 * 92</f>
        <v>94.399999999999991</v>
      </c>
      <c r="N102" s="17"/>
      <c r="O102" s="18"/>
      <c r="P102" s="51" t="s">
        <v>30</v>
      </c>
      <c r="Q102" s="52"/>
      <c r="R102" s="53"/>
      <c r="S102" s="19">
        <f>IF(J102="미제출",0,IF(K102="O",J102*0.66,J102))+IF(M102="미제출",0,IF(N102="O",M102*0.66,M102))</f>
        <v>194.39999999999998</v>
      </c>
      <c r="T102" s="20"/>
      <c r="U102" s="20"/>
      <c r="V102" s="20"/>
      <c r="W102" s="20"/>
      <c r="X102" s="21"/>
      <c r="Y102" s="19"/>
      <c r="Z102" s="23"/>
    </row>
    <row r="103" spans="1:27" ht="18" customHeight="1">
      <c r="A103" s="16">
        <v>66</v>
      </c>
      <c r="B103" s="1" t="s">
        <v>31</v>
      </c>
      <c r="C103" s="1"/>
      <c r="D103" s="1" t="s">
        <v>40</v>
      </c>
      <c r="E103" s="1" t="s">
        <v>41</v>
      </c>
      <c r="F103" s="1" t="s">
        <v>255</v>
      </c>
      <c r="G103" s="1" t="s">
        <v>256</v>
      </c>
      <c r="H103" s="3">
        <v>0</v>
      </c>
      <c r="I103" s="31"/>
      <c r="J103" s="17">
        <f>30 + 0.7 * 100</f>
        <v>100</v>
      </c>
      <c r="K103" s="17"/>
      <c r="L103" s="18"/>
      <c r="M103" s="17">
        <f>30 + 0.7 * 34</f>
        <v>53.8</v>
      </c>
      <c r="N103" s="17"/>
      <c r="O103" s="18"/>
      <c r="P103" s="51" t="s">
        <v>30</v>
      </c>
      <c r="Q103" s="52"/>
      <c r="R103" s="53"/>
      <c r="S103" s="19">
        <f>IF(J103="미제출",0,IF(K103="O",J103*0.66,J103))+IF(M103="미제출",0,IF(N103="O",M103*0.66,M103))</f>
        <v>153.80000000000001</v>
      </c>
      <c r="T103" s="20"/>
      <c r="U103" s="20"/>
      <c r="V103" s="20"/>
      <c r="W103" s="20"/>
      <c r="X103" s="21"/>
      <c r="Y103" s="19"/>
      <c r="Z103" s="23"/>
      <c r="AA103" s="24" t="s">
        <v>70</v>
      </c>
    </row>
    <row r="104" spans="1:27" ht="18" customHeight="1">
      <c r="A104" s="16">
        <v>74</v>
      </c>
      <c r="B104" s="1" t="s">
        <v>31</v>
      </c>
      <c r="C104" s="1"/>
      <c r="D104" s="1" t="s">
        <v>40</v>
      </c>
      <c r="E104" s="1" t="s">
        <v>41</v>
      </c>
      <c r="F104" s="1" t="s">
        <v>257</v>
      </c>
      <c r="G104" s="1" t="s">
        <v>258</v>
      </c>
      <c r="H104" s="1">
        <v>10</v>
      </c>
      <c r="I104" s="31"/>
      <c r="J104" s="17">
        <f>30 + 0.7 * 100</f>
        <v>100</v>
      </c>
      <c r="K104" s="17"/>
      <c r="L104" s="7"/>
      <c r="M104" s="17">
        <f>30 + 0.7 * 82</f>
        <v>87.4</v>
      </c>
      <c r="N104" s="17"/>
      <c r="O104" s="7"/>
      <c r="P104" s="17">
        <v>76</v>
      </c>
      <c r="Q104" s="17"/>
      <c r="R104" s="7" t="s">
        <v>295</v>
      </c>
      <c r="S104" s="19">
        <f>IF(J104="미제출",0,IF(K104="O",J104*0.66,J104))+IF(M104="미제출",0,IF(N104="O",M104*0.66,M104))</f>
        <v>187.4</v>
      </c>
      <c r="T104" s="20"/>
      <c r="U104" s="20"/>
      <c r="V104" s="20"/>
      <c r="W104" s="20"/>
      <c r="X104" s="21"/>
      <c r="Y104" s="7"/>
      <c r="Z104" s="23"/>
    </row>
    <row r="105" spans="1:27" ht="18" customHeight="1">
      <c r="A105" s="16">
        <v>94</v>
      </c>
      <c r="B105" s="1" t="s">
        <v>31</v>
      </c>
      <c r="C105" s="1"/>
      <c r="D105" s="1" t="s">
        <v>40</v>
      </c>
      <c r="E105" s="1" t="s">
        <v>41</v>
      </c>
      <c r="F105" s="1" t="s">
        <v>259</v>
      </c>
      <c r="G105" s="1" t="s">
        <v>260</v>
      </c>
      <c r="H105" s="1">
        <v>10</v>
      </c>
      <c r="I105" s="31"/>
      <c r="J105" s="17">
        <f>30 + 0.7 * 90</f>
        <v>93</v>
      </c>
      <c r="K105" s="17"/>
      <c r="L105" s="18"/>
      <c r="M105" s="17">
        <f>30 + 0.7 * 98</f>
        <v>98.6</v>
      </c>
      <c r="N105" s="17"/>
      <c r="O105" s="18"/>
      <c r="P105" s="17">
        <v>100</v>
      </c>
      <c r="Q105" s="17"/>
      <c r="R105" s="18"/>
      <c r="S105" s="19">
        <f>IF(J105="미제출",0,IF(K105="O",J105*0.66,J105))+IF(M105="미제출",0,IF(N105="O",M105*0.66,M105))</f>
        <v>191.6</v>
      </c>
      <c r="T105" s="20"/>
      <c r="U105" s="20"/>
      <c r="V105" s="20"/>
      <c r="W105" s="20"/>
      <c r="X105" s="21"/>
      <c r="Y105" s="19"/>
      <c r="Z105" s="23"/>
    </row>
    <row r="106" spans="1:27" ht="18" customHeight="1">
      <c r="A106" s="16">
        <v>95</v>
      </c>
      <c r="B106" s="1" t="s">
        <v>23</v>
      </c>
      <c r="C106" s="1"/>
      <c r="D106" s="1" t="s">
        <v>40</v>
      </c>
      <c r="E106" s="1" t="s">
        <v>41</v>
      </c>
      <c r="F106" s="1" t="s">
        <v>261</v>
      </c>
      <c r="G106" s="1" t="s">
        <v>262</v>
      </c>
      <c r="H106" s="1">
        <v>10</v>
      </c>
      <c r="I106" s="31"/>
      <c r="J106" s="17">
        <f>30 + 0.7 * 98</f>
        <v>98.6</v>
      </c>
      <c r="K106" s="17"/>
      <c r="L106" s="7"/>
      <c r="M106" s="17">
        <f>30 + 0.7 * 100</f>
        <v>100</v>
      </c>
      <c r="N106" s="17" t="s">
        <v>85</v>
      </c>
      <c r="O106" s="7"/>
      <c r="P106" s="34"/>
      <c r="Q106" s="34"/>
      <c r="R106" s="50"/>
      <c r="S106" s="19">
        <f>IF(J106="미제출",0,IF(K106="O",J106*0.66,J106))+IF(M106="미제출",0,IF(N106="O",M106*0.66,M106))</f>
        <v>164.6</v>
      </c>
      <c r="T106" s="7"/>
      <c r="U106" s="7"/>
      <c r="V106" s="20"/>
      <c r="W106" s="20"/>
      <c r="X106" s="21"/>
      <c r="Y106" s="7"/>
      <c r="Z106" s="7"/>
    </row>
    <row r="107" spans="1:27" ht="18" customHeight="1">
      <c r="A107" s="16">
        <v>101</v>
      </c>
      <c r="B107" s="1" t="s">
        <v>23</v>
      </c>
      <c r="C107" s="1"/>
      <c r="D107" s="1" t="s">
        <v>40</v>
      </c>
      <c r="E107" s="1" t="s">
        <v>41</v>
      </c>
      <c r="F107" s="1" t="s">
        <v>263</v>
      </c>
      <c r="G107" s="1" t="s">
        <v>264</v>
      </c>
      <c r="H107" s="1">
        <v>10</v>
      </c>
      <c r="I107" s="31"/>
      <c r="J107" s="17">
        <f>30 + 0.7 * 86</f>
        <v>90.199999999999989</v>
      </c>
      <c r="K107" s="17"/>
      <c r="L107" s="18"/>
      <c r="M107" s="17">
        <f>30 + 0.7 * 96</f>
        <v>97.199999999999989</v>
      </c>
      <c r="N107" s="17"/>
      <c r="O107" s="18"/>
      <c r="P107" s="48">
        <v>70</v>
      </c>
      <c r="Q107" s="48"/>
      <c r="R107" s="58"/>
      <c r="S107" s="19">
        <f>IF(J107="미제출",0,IF(K107="O",J107*0.66,J107))+IF(M107="미제출",0,IF(N107="O",M107*0.66,M107))</f>
        <v>187.39999999999998</v>
      </c>
      <c r="T107" s="20"/>
      <c r="U107" s="20"/>
      <c r="V107" s="20"/>
      <c r="W107" s="20"/>
      <c r="X107" s="21"/>
      <c r="Y107" s="19"/>
      <c r="Z107" s="7"/>
    </row>
    <row r="108" spans="1:27" ht="18" customHeight="1">
      <c r="A108" s="16">
        <v>105</v>
      </c>
      <c r="B108" s="1" t="s">
        <v>23</v>
      </c>
      <c r="C108" s="1"/>
      <c r="D108" s="1" t="s">
        <v>40</v>
      </c>
      <c r="E108" s="1" t="s">
        <v>41</v>
      </c>
      <c r="F108" s="1" t="s">
        <v>265</v>
      </c>
      <c r="G108" s="6" t="s">
        <v>266</v>
      </c>
      <c r="H108" s="1">
        <v>10</v>
      </c>
      <c r="I108" s="31"/>
      <c r="J108" s="17">
        <f>30 + 0.7 * 100</f>
        <v>100</v>
      </c>
      <c r="K108" s="17"/>
      <c r="L108" s="18"/>
      <c r="M108" s="17">
        <f>30 + 0.7 * (0 + 20)</f>
        <v>44</v>
      </c>
      <c r="N108" s="17"/>
      <c r="O108" s="18" t="s">
        <v>35</v>
      </c>
      <c r="P108" s="51" t="s">
        <v>30</v>
      </c>
      <c r="Q108" s="52"/>
      <c r="R108" s="53"/>
      <c r="S108" s="19">
        <f>IF(J108="미제출",0,IF(K108="O",J108*0.66,J108))+IF(M108="미제출",0,IF(N108="O",M108*0.66,M108))</f>
        <v>144</v>
      </c>
      <c r="T108" s="20"/>
      <c r="U108" s="20"/>
      <c r="V108" s="20"/>
      <c r="W108" s="20"/>
      <c r="X108" s="21"/>
      <c r="Y108" s="19"/>
      <c r="Z108" s="23"/>
    </row>
    <row r="109" spans="1:27" ht="18" customHeight="1">
      <c r="A109" s="16">
        <v>106</v>
      </c>
      <c r="B109" s="1" t="s">
        <v>31</v>
      </c>
      <c r="C109" s="1"/>
      <c r="D109" s="1" t="s">
        <v>40</v>
      </c>
      <c r="E109" s="1" t="s">
        <v>41</v>
      </c>
      <c r="F109" s="1" t="s">
        <v>267</v>
      </c>
      <c r="G109" s="6" t="s">
        <v>268</v>
      </c>
      <c r="H109" s="1">
        <v>10</v>
      </c>
      <c r="I109" s="31"/>
      <c r="J109" s="40">
        <v>0</v>
      </c>
      <c r="K109" s="40" t="s">
        <v>85</v>
      </c>
      <c r="L109" s="41" t="s">
        <v>246</v>
      </c>
      <c r="M109" s="37" t="s">
        <v>30</v>
      </c>
      <c r="N109" s="37"/>
      <c r="O109" s="38"/>
      <c r="P109" s="51" t="s">
        <v>30</v>
      </c>
      <c r="Q109" s="52"/>
      <c r="R109" s="53"/>
      <c r="S109" s="19">
        <f>IF(J109="미제출",0,IF(K109="O",J109*0.66,J109))+IF(M109="미제출",0,IF(N109="O",M109*0.66,M109))</f>
        <v>0</v>
      </c>
      <c r="T109" s="20"/>
      <c r="U109" s="20"/>
      <c r="V109" s="20"/>
      <c r="W109" s="20"/>
      <c r="X109" s="21"/>
      <c r="Y109" s="26"/>
      <c r="Z109" s="23"/>
    </row>
    <row r="110" spans="1:27" ht="18" customHeight="1">
      <c r="A110" s="16">
        <v>107</v>
      </c>
      <c r="B110" s="1" t="s">
        <v>31</v>
      </c>
      <c r="C110" s="2" t="s">
        <v>136</v>
      </c>
      <c r="D110" s="1" t="s">
        <v>40</v>
      </c>
      <c r="E110" s="1" t="s">
        <v>41</v>
      </c>
      <c r="F110" s="1" t="s">
        <v>269</v>
      </c>
      <c r="G110" s="1" t="s">
        <v>270</v>
      </c>
      <c r="H110" s="1">
        <v>10</v>
      </c>
      <c r="I110" s="31"/>
      <c r="J110" s="34" t="s">
        <v>30</v>
      </c>
      <c r="K110" s="34"/>
      <c r="L110" s="35"/>
      <c r="M110" s="37" t="s">
        <v>30</v>
      </c>
      <c r="N110" s="37"/>
      <c r="O110" s="38"/>
      <c r="P110" s="51" t="s">
        <v>30</v>
      </c>
      <c r="Q110" s="52"/>
      <c r="R110" s="53"/>
      <c r="S110" s="19">
        <f>IF(J110="미제출",0,IF(K110="O",J110*0.66,J110))+IF(M110="미제출",0,IF(N110="O",M110*0.66,M110))</f>
        <v>0</v>
      </c>
      <c r="T110" s="20"/>
      <c r="U110" s="20"/>
      <c r="V110" s="20"/>
      <c r="W110" s="20"/>
      <c r="X110" s="21"/>
      <c r="Y110" s="19"/>
      <c r="Z110" s="7"/>
    </row>
    <row r="111" spans="1:27" ht="18" customHeight="1">
      <c r="A111" s="16">
        <v>108</v>
      </c>
      <c r="B111" s="1" t="s">
        <v>31</v>
      </c>
      <c r="C111" s="2" t="s">
        <v>136</v>
      </c>
      <c r="D111" s="1" t="s">
        <v>40</v>
      </c>
      <c r="E111" s="1" t="s">
        <v>41</v>
      </c>
      <c r="F111" s="1" t="s">
        <v>271</v>
      </c>
      <c r="G111" s="1" t="s">
        <v>272</v>
      </c>
      <c r="H111" s="1">
        <v>10</v>
      </c>
      <c r="I111" s="31"/>
      <c r="J111" s="17">
        <f>30 + 0.7 * (32 - 20)</f>
        <v>38.4</v>
      </c>
      <c r="K111" s="17" t="s">
        <v>85</v>
      </c>
      <c r="L111" s="18" t="s">
        <v>29</v>
      </c>
      <c r="M111" s="37" t="s">
        <v>30</v>
      </c>
      <c r="N111" s="37"/>
      <c r="O111" s="38"/>
      <c r="P111" s="51" t="s">
        <v>30</v>
      </c>
      <c r="Q111" s="52"/>
      <c r="R111" s="53"/>
      <c r="S111" s="19">
        <f>IF(J111="미제출",0,IF(K111="O",J111*0.66,J111))+IF(M111="미제출",0,IF(N111="O",M111*0.66,M111))</f>
        <v>25.344000000000001</v>
      </c>
      <c r="T111" s="20"/>
      <c r="U111" s="20"/>
      <c r="V111" s="20"/>
      <c r="W111" s="20"/>
      <c r="X111" s="21"/>
      <c r="Y111" s="19"/>
      <c r="Z111" s="7"/>
    </row>
    <row r="112" spans="1:27" ht="36" customHeight="1">
      <c r="A112" s="16">
        <v>59</v>
      </c>
      <c r="B112" s="1" t="s">
        <v>31</v>
      </c>
      <c r="C112" s="2" t="s">
        <v>136</v>
      </c>
      <c r="D112" s="1" t="s">
        <v>40</v>
      </c>
      <c r="E112" s="1" t="s">
        <v>41</v>
      </c>
      <c r="F112" s="1" t="s">
        <v>273</v>
      </c>
      <c r="G112" s="1" t="s">
        <v>274</v>
      </c>
      <c r="H112" s="1">
        <v>10</v>
      </c>
      <c r="I112" s="31"/>
      <c r="J112" s="17">
        <f>30 + 0.7 * 0</f>
        <v>30</v>
      </c>
      <c r="K112" s="17" t="s">
        <v>85</v>
      </c>
      <c r="L112" s="27" t="s">
        <v>275</v>
      </c>
      <c r="M112" s="37" t="s">
        <v>30</v>
      </c>
      <c r="N112" s="37"/>
      <c r="O112" s="38"/>
      <c r="P112" s="51" t="s">
        <v>30</v>
      </c>
      <c r="Q112" s="52"/>
      <c r="R112" s="53"/>
      <c r="S112" s="19">
        <f>IF(J112="미제출",0,IF(K112="O",J112*0.66,J112))+IF(M112="미제출",0,IF(N112="O",M112*0.66,M112))</f>
        <v>19.8</v>
      </c>
      <c r="T112" s="20"/>
      <c r="U112" s="20"/>
      <c r="V112" s="20"/>
      <c r="W112" s="20"/>
      <c r="X112" s="21"/>
      <c r="Y112" s="19"/>
      <c r="Z112" s="23"/>
    </row>
    <row r="117" spans="3:9" ht="36" customHeight="1">
      <c r="C117" s="29" t="s">
        <v>276</v>
      </c>
      <c r="D117" s="29" t="s">
        <v>277</v>
      </c>
      <c r="E117" s="29"/>
      <c r="F117" s="29" t="s">
        <v>278</v>
      </c>
      <c r="G117" s="29" t="s">
        <v>279</v>
      </c>
      <c r="H117" s="29"/>
      <c r="I117" s="24"/>
    </row>
    <row r="118" spans="3:9" ht="18" customHeight="1">
      <c r="C118" s="32" t="s">
        <v>280</v>
      </c>
    </row>
    <row r="119" spans="3:9" ht="18" customHeight="1">
      <c r="C119" s="32" t="s">
        <v>281</v>
      </c>
      <c r="E119" s="32"/>
    </row>
    <row r="120" spans="3:9" ht="18" customHeight="1">
      <c r="C120" s="32" t="s">
        <v>282</v>
      </c>
      <c r="E120" s="32"/>
    </row>
    <row r="121" spans="3:9" ht="18" customHeight="1">
      <c r="C121" s="32" t="s">
        <v>283</v>
      </c>
      <c r="E121" s="32"/>
    </row>
    <row r="122" spans="3:9" ht="18" customHeight="1">
      <c r="C122" s="32" t="s">
        <v>284</v>
      </c>
      <c r="E122" s="32"/>
    </row>
    <row r="123" spans="3:9" ht="18" customHeight="1">
      <c r="C123" s="32" t="s">
        <v>285</v>
      </c>
      <c r="E123" s="32"/>
    </row>
    <row r="124" spans="3:9" ht="18" customHeight="1">
      <c r="C124" s="32" t="s">
        <v>286</v>
      </c>
      <c r="E124" s="32"/>
    </row>
    <row r="125" spans="3:9" ht="18" customHeight="1">
      <c r="C125" s="32" t="s">
        <v>287</v>
      </c>
      <c r="E125" s="32"/>
    </row>
    <row r="126" spans="3:9" ht="18" customHeight="1">
      <c r="C126" s="32" t="s">
        <v>288</v>
      </c>
    </row>
    <row r="127" spans="3:9" ht="54" customHeight="1">
      <c r="C127" s="32" t="s">
        <v>289</v>
      </c>
    </row>
    <row r="128" spans="3:9" ht="72" customHeight="1">
      <c r="C128" s="29" t="s">
        <v>290</v>
      </c>
      <c r="D128" s="29">
        <f>SUM(D118:D126)</f>
        <v>0</v>
      </c>
      <c r="E128" s="29"/>
      <c r="F128" s="29">
        <f>SUM(F118:F126)</f>
        <v>0</v>
      </c>
      <c r="G128" s="29"/>
      <c r="H128" s="29"/>
    </row>
    <row r="131" spans="2:5">
      <c r="B131" s="24"/>
    </row>
    <row r="132" spans="2:5">
      <c r="B132" s="24"/>
      <c r="C132" s="24"/>
      <c r="D132" s="24"/>
      <c r="E132" s="24"/>
    </row>
    <row r="133" spans="2:5">
      <c r="B133" s="24"/>
      <c r="C133" s="24"/>
      <c r="D133" s="24"/>
      <c r="E133" s="24"/>
    </row>
    <row r="134" spans="2:5">
      <c r="B134" s="24"/>
      <c r="C134" s="24"/>
      <c r="D134" s="24"/>
      <c r="E134" s="24"/>
    </row>
    <row r="135" spans="2:5">
      <c r="B135" s="24"/>
      <c r="D135" s="24"/>
      <c r="E135" s="24"/>
    </row>
    <row r="136" spans="2:5">
      <c r="B136" s="24"/>
      <c r="D136" s="24"/>
      <c r="E136" s="24"/>
    </row>
    <row r="137" spans="2:5">
      <c r="B137" s="24"/>
      <c r="D137" s="24"/>
      <c r="E137" s="24"/>
    </row>
  </sheetData>
  <mergeCells count="1">
    <mergeCell ref="A1:Z2"/>
  </mergeCells>
  <pageMargins left="0.7" right="0.7" top="0.75" bottom="0.75" header="0" footer="0"/>
  <pageSetup paperSize="9" scale="56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내부용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황영서(학부생-소프트웨어전공)</cp:lastModifiedBy>
  <cp:lastPrinted>2022-12-10T07:05:09Z</cp:lastPrinted>
  <dcterms:created xsi:type="dcterms:W3CDTF">2022-12-21T01:56:42Z</dcterms:created>
  <dcterms:modified xsi:type="dcterms:W3CDTF">2024-12-11T02:23:55Z</dcterms:modified>
</cp:coreProperties>
</file>